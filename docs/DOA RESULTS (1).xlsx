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<sst xmlns="http://schemas.openxmlformats.org/spreadsheetml/2006/main" count="729" uniqueCount="33">
  <si>
    <t>Absolute Circular Error</t>
  </si>
  <si>
    <t>Platform</t>
  </si>
  <si>
    <t>Algorithm</t>
  </si>
  <si>
    <t>Signal</t>
  </si>
  <si>
    <t>Distance (cm)</t>
  </si>
  <si>
    <t>True angle</t>
  </si>
  <si>
    <t>Measured angle</t>
  </si>
  <si>
    <t>Angle Error</t>
  </si>
  <si>
    <t>Average Errors</t>
  </si>
  <si>
    <t>Squared Error</t>
  </si>
  <si>
    <t>Tets 2</t>
  </si>
  <si>
    <t>Test 3</t>
  </si>
  <si>
    <t>Test 4</t>
  </si>
  <si>
    <t>Test 5</t>
  </si>
  <si>
    <t>Test 6</t>
  </si>
  <si>
    <t>MAE</t>
  </si>
  <si>
    <t>RMSE</t>
  </si>
  <si>
    <t>Bias</t>
  </si>
  <si>
    <t>SD</t>
  </si>
  <si>
    <t>CI 95%</t>
  </si>
  <si>
    <t>Simu;ation</t>
  </si>
  <si>
    <t>MUSIC</t>
  </si>
  <si>
    <t>4kHz Sine</t>
  </si>
  <si>
    <t>-</t>
  </si>
  <si>
    <t/>
  </si>
  <si>
    <t>Angle error</t>
  </si>
  <si>
    <t>Trig + FFT</t>
  </si>
  <si>
    <t>LUT+Cost fn</t>
  </si>
  <si>
    <t>Broadband</t>
  </si>
  <si>
    <t>Custom Array</t>
  </si>
  <si>
    <t>Error</t>
  </si>
  <si>
    <t>Speech</t>
  </si>
  <si>
    <t>Clap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</si>
</sst>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C0C0C"/>
        <bgColor rgb="FF0C0C0C"/>
      </patternFill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Font="1"/>
    <xf borderId="1" fillId="2" fontId="1" numFmtId="0" xfId="0" applyBorder="1" applyFill="1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1" numFmtId="0" xfId="0" applyBorder="1" applyFill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25"/>
    <col customWidth="1" min="2" max="2" width="16.13"/>
    <col customWidth="1" min="3" max="3" width="23.88"/>
    <col customWidth="1" min="4" max="4" width="20.13"/>
    <col customWidth="1" min="5" max="5" width="22.13"/>
    <col customWidth="1" min="6" max="6" width="17.0"/>
    <col customWidth="1" min="7" max="7" width="8.63"/>
    <col customWidth="1" min="8" max="8" width="17.0"/>
    <col customWidth="1" min="9" max="9" width="14.63"/>
    <col customWidth="1" min="10" max="10" width="8.63"/>
    <col customWidth="1" min="11" max="12" width="15.75"/>
    <col customWidth="1" min="13" max="20" width="15.25"/>
    <col customWidth="1" min="21" max="29" width="8.63"/>
  </cols>
  <sheetData>
    <row r="1" ht="35.25" customHeight="1">
      <c r="I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/>
      <c r="I2" s="2" t="s">
        <v>7</v>
      </c>
      <c r="K2" s="2" t="s">
        <v>8</v>
      </c>
      <c r="M2" s="2" t="s">
        <v>9</v>
      </c>
      <c r="O2" s="2" t="s">
        <v>10</v>
      </c>
      <c r="P2" s="2" t="s">
        <v>11</v>
      </c>
      <c r="Q2" s="2" t="s">
        <v>12</v>
      </c>
      <c r="R2" s="2" t="s">
        <v>13</v>
      </c>
      <c r="S2" s="2" t="s">
        <v>14</v>
      </c>
      <c r="U2" s="2" t="s">
        <v>15</v>
      </c>
      <c r="W2" s="2" t="s">
        <v>16</v>
      </c>
      <c r="Y2" s="2" t="s">
        <v>17</v>
      </c>
      <c r="AA2" s="2" t="s">
        <v>18</v>
      </c>
      <c r="AC2" s="4" t="s">
        <v>19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2">
        <v>0.0</v>
      </c>
      <c r="F3" s="2">
        <v>359.9</v>
      </c>
      <c r="G3" s="3"/>
      <c r="I3" s="2">
        <f t="shared" ref="I3:I8" si="1">IF(ISNUMBER(E3), MIN(ABS(F3-E3), 360-ABS(F3-E3)), "")</f>
        <v>0.1</v>
      </c>
      <c r="M3" s="2">
        <f t="shared" ref="M3:M8" si="2">IF(ISNUMBER(I3), I3^2, "")</f>
        <v>0.01</v>
      </c>
      <c r="O3" s="2">
        <v>359.34</v>
      </c>
      <c r="P3" s="2">
        <v>359.215</v>
      </c>
      <c r="Q3" s="2">
        <v>359.724</v>
      </c>
      <c r="R3" s="2">
        <v>360.873</v>
      </c>
      <c r="S3" s="2">
        <v>361.373</v>
      </c>
      <c r="U3" s="2">
        <f>AVERAGE(I3:I8)</f>
        <v>0.01666666667</v>
      </c>
      <c r="W3" s="2">
        <f>SQRT(AVERAGE(M3:M8))</f>
        <v>0.04082482905</v>
      </c>
      <c r="Y3" s="5">
        <f t="array" ref="Y3">AVERAGE(IF(F3:F8-E3:E8&gt;180, F3:F8-E3:E8-360, IF(F3:F8-E3:E8&lt;-180, F3:F8-E3:E8+360, F3:F8-E3:E8)))</f>
        <v>-0.01666666667</v>
      </c>
      <c r="AA3" s="2">
        <f t="array" ref="AA3">STDEV(IF(F3:F8-E3:E8&gt;180, F3:F8-E3:E8-360, IF(F3:F8-E3:E8&lt;-180, F3:F8-E3:E8+360, F3:F8-E3:E8)))</f>
        <v>0.04082482905</v>
      </c>
      <c r="AC3" s="2" t="str">
        <f>TEXT(Y3, "0.00") &amp; " ± " &amp; TEXT(1.96 * AA3 / SQRT(6), "0.00")</f>
        <v>-0.02 ± 0.03</v>
      </c>
    </row>
    <row r="4">
      <c r="A4" s="2" t="s">
        <v>20</v>
      </c>
      <c r="B4" s="2" t="s">
        <v>21</v>
      </c>
      <c r="D4" s="2" t="s">
        <v>23</v>
      </c>
      <c r="E4" s="2">
        <v>22.5</v>
      </c>
      <c r="F4" s="2">
        <v>22.5</v>
      </c>
      <c r="G4" s="3"/>
      <c r="I4" s="2">
        <f t="shared" si="1"/>
        <v>0</v>
      </c>
      <c r="M4" s="2">
        <f t="shared" si="2"/>
        <v>0</v>
      </c>
      <c r="O4" s="2">
        <v>23.696</v>
      </c>
      <c r="P4" s="2">
        <v>22.128</v>
      </c>
      <c r="Q4" s="2">
        <v>21.879</v>
      </c>
      <c r="R4" s="2">
        <v>22.657</v>
      </c>
      <c r="S4" s="2">
        <v>22.61</v>
      </c>
    </row>
    <row r="5">
      <c r="A5" s="2" t="s">
        <v>20</v>
      </c>
      <c r="B5" s="2" t="s">
        <v>21</v>
      </c>
      <c r="D5" s="2" t="s">
        <v>23</v>
      </c>
      <c r="E5" s="2">
        <v>45.0</v>
      </c>
      <c r="F5" s="2">
        <v>45.0</v>
      </c>
      <c r="G5" s="3"/>
      <c r="I5" s="2">
        <f t="shared" si="1"/>
        <v>0</v>
      </c>
      <c r="M5" s="2">
        <f t="shared" si="2"/>
        <v>0</v>
      </c>
      <c r="O5" s="2">
        <v>44.122</v>
      </c>
      <c r="P5" s="2">
        <v>45.306</v>
      </c>
      <c r="Q5" s="2">
        <v>45.213</v>
      </c>
      <c r="R5" s="2">
        <v>45.85</v>
      </c>
      <c r="S5" s="2">
        <v>46.039</v>
      </c>
    </row>
    <row r="6">
      <c r="A6" s="2" t="s">
        <v>20</v>
      </c>
      <c r="B6" s="2" t="s">
        <v>21</v>
      </c>
      <c r="D6" s="2" t="s">
        <v>23</v>
      </c>
      <c r="E6" s="2">
        <v>90.0</v>
      </c>
      <c r="F6" s="2">
        <v>90.0</v>
      </c>
      <c r="G6" s="3"/>
      <c r="I6" s="2">
        <f t="shared" si="1"/>
        <v>0</v>
      </c>
      <c r="M6" s="2">
        <f t="shared" si="2"/>
        <v>0</v>
      </c>
      <c r="O6" s="2">
        <v>89.899</v>
      </c>
      <c r="P6" s="2">
        <v>90.008</v>
      </c>
      <c r="Q6" s="2">
        <v>91.134</v>
      </c>
      <c r="R6" s="2">
        <v>90.213</v>
      </c>
      <c r="S6" s="2">
        <v>88.872</v>
      </c>
    </row>
    <row r="7">
      <c r="A7" s="2" t="s">
        <v>20</v>
      </c>
      <c r="B7" s="2" t="s">
        <v>21</v>
      </c>
      <c r="D7" s="2" t="s">
        <v>23</v>
      </c>
      <c r="E7" s="2">
        <v>180.0</v>
      </c>
      <c r="F7" s="2">
        <v>180.0</v>
      </c>
      <c r="G7" s="3"/>
      <c r="I7" s="2">
        <f t="shared" si="1"/>
        <v>0</v>
      </c>
      <c r="K7" s="2">
        <f>AVERAGE(I3:I8)</f>
        <v>0.01666666667</v>
      </c>
      <c r="M7" s="2">
        <f t="shared" si="2"/>
        <v>0</v>
      </c>
      <c r="O7" s="2">
        <v>180.426</v>
      </c>
      <c r="P7" s="2">
        <v>180.265</v>
      </c>
      <c r="Q7" s="2">
        <v>178.519</v>
      </c>
      <c r="R7" s="2">
        <v>179.07</v>
      </c>
      <c r="S7" s="2">
        <v>179.194</v>
      </c>
    </row>
    <row r="8">
      <c r="A8" s="2" t="s">
        <v>20</v>
      </c>
      <c r="B8" s="2" t="s">
        <v>21</v>
      </c>
      <c r="D8" s="2" t="s">
        <v>23</v>
      </c>
      <c r="E8" s="2">
        <v>270.0</v>
      </c>
      <c r="F8" s="2">
        <v>270.0</v>
      </c>
      <c r="G8" s="3"/>
      <c r="I8" s="2">
        <f t="shared" si="1"/>
        <v>0</v>
      </c>
      <c r="M8" s="2">
        <f t="shared" si="2"/>
        <v>0</v>
      </c>
      <c r="O8" s="2">
        <v>270.459</v>
      </c>
      <c r="P8" s="2">
        <v>268.718</v>
      </c>
      <c r="Q8" s="2">
        <v>269.107</v>
      </c>
      <c r="R8" s="2">
        <v>269.614</v>
      </c>
      <c r="S8" s="2">
        <v>268.828</v>
      </c>
      <c r="AB8" s="6"/>
    </row>
    <row r="9">
      <c r="G9" s="3"/>
      <c r="M9" s="2" t="str">
        <f>IF(I9 ="","", I9^2)</f>
        <v/>
      </c>
      <c r="O9" s="2" t="s">
        <v>24</v>
      </c>
      <c r="P9" s="2" t="s">
        <v>24</v>
      </c>
      <c r="Q9" s="2" t="s">
        <v>24</v>
      </c>
      <c r="R9" s="2" t="s">
        <v>24</v>
      </c>
      <c r="S9" s="2" t="s">
        <v>24</v>
      </c>
    </row>
    <row r="10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  <c r="G10" s="3"/>
      <c r="I10" s="2" t="s">
        <v>25</v>
      </c>
    </row>
    <row r="11">
      <c r="A11" s="2" t="s">
        <v>20</v>
      </c>
      <c r="B11" s="2" t="s">
        <v>26</v>
      </c>
      <c r="C11" s="2" t="s">
        <v>22</v>
      </c>
      <c r="D11" s="2" t="s">
        <v>23</v>
      </c>
      <c r="E11" s="2">
        <v>0.0</v>
      </c>
      <c r="F11" s="2">
        <v>359.684</v>
      </c>
      <c r="G11" s="3"/>
      <c r="I11" s="2">
        <f t="shared" ref="I11:I16" si="3">IF(ISNUMBER(E11), MIN(ABS(F11-E11), 360-ABS(F11-E11)), "")</f>
        <v>0.316</v>
      </c>
      <c r="M11" s="2">
        <f t="shared" ref="M11:M16" si="4">IF(ISNUMBER(I11), I11^2, "")</f>
        <v>0.099856</v>
      </c>
      <c r="O11" s="2">
        <v>359.818</v>
      </c>
      <c r="P11" s="2">
        <v>360.463</v>
      </c>
      <c r="Q11" s="2">
        <v>359.075</v>
      </c>
      <c r="R11" s="2">
        <v>360.364</v>
      </c>
      <c r="S11" s="2">
        <v>358.584</v>
      </c>
      <c r="U11" s="2">
        <f>AVERAGE(I11:I16)</f>
        <v>0.108</v>
      </c>
      <c r="W11" s="2">
        <f>SQRT(AVERAGE(M11:M16))</f>
        <v>0.1830455317</v>
      </c>
      <c r="Y11" s="5">
        <f t="array" ref="Y11">AVERAGE(IF(F11:F16-E11:E16&gt;180, F11:F16-E11:E16-360, IF(F11:F16-E11:E16&lt;-180, F11:F16-E11:E16+360, F11:F16-E11:E16)))</f>
        <v>-0.105</v>
      </c>
      <c r="AA11" s="5">
        <f t="array" ref="AA11">STDEV(IF(F11:F16-E11:E16&gt;180, F11:F16-E11:E16-360, IF(F11:F16-E11:E16&lt;-180, F11:F16-E11:E16+360, F11:F16-E11:E16)))</f>
        <v>0.1642461567</v>
      </c>
      <c r="AC11" s="2" t="str">
        <f>TEXT(Y11, "0.00") &amp; " ± " &amp; TEXT(1.96 * AA11 / SQRT(6), "0.00")</f>
        <v>-0.10 ± 0.13</v>
      </c>
    </row>
    <row r="12">
      <c r="A12" s="2" t="s">
        <v>20</v>
      </c>
      <c r="B12" s="2" t="s">
        <v>26</v>
      </c>
      <c r="D12" s="2" t="s">
        <v>23</v>
      </c>
      <c r="E12" s="2">
        <v>22.5</v>
      </c>
      <c r="F12" s="2">
        <v>22.505</v>
      </c>
      <c r="G12" s="3"/>
      <c r="I12" s="2">
        <f t="shared" si="3"/>
        <v>0.005</v>
      </c>
      <c r="M12" s="2">
        <f t="shared" si="4"/>
        <v>0.000025</v>
      </c>
      <c r="O12" s="2">
        <v>21.671</v>
      </c>
      <c r="P12" s="2">
        <v>22.633</v>
      </c>
      <c r="Q12" s="2">
        <v>22.758</v>
      </c>
      <c r="R12" s="2">
        <v>22.976</v>
      </c>
      <c r="S12" s="2">
        <v>23.073</v>
      </c>
    </row>
    <row r="13">
      <c r="A13" s="2" t="s">
        <v>20</v>
      </c>
      <c r="B13" s="2" t="s">
        <v>26</v>
      </c>
      <c r="D13" s="2" t="s">
        <v>23</v>
      </c>
      <c r="E13" s="2">
        <v>45.0</v>
      </c>
      <c r="F13" s="2">
        <v>44.998</v>
      </c>
      <c r="G13" s="3"/>
      <c r="I13" s="2">
        <f t="shared" si="3"/>
        <v>0.002</v>
      </c>
      <c r="M13" s="2">
        <f t="shared" si="4"/>
        <v>0.000004</v>
      </c>
      <c r="O13" s="2">
        <v>44.001</v>
      </c>
      <c r="P13" s="2">
        <v>45.119</v>
      </c>
      <c r="Q13" s="2">
        <v>46.426</v>
      </c>
      <c r="R13" s="2">
        <v>43.717</v>
      </c>
      <c r="S13" s="2">
        <v>43.89</v>
      </c>
    </row>
    <row r="14">
      <c r="A14" s="2" t="s">
        <v>20</v>
      </c>
      <c r="B14" s="2" t="s">
        <v>26</v>
      </c>
      <c r="D14" s="2" t="s">
        <v>23</v>
      </c>
      <c r="E14" s="2">
        <v>90.0</v>
      </c>
      <c r="F14" s="2">
        <v>89.997</v>
      </c>
      <c r="G14" s="3"/>
      <c r="I14" s="2">
        <f t="shared" si="3"/>
        <v>0.003</v>
      </c>
      <c r="M14" s="2">
        <f t="shared" si="4"/>
        <v>0.000009</v>
      </c>
      <c r="O14" s="2">
        <v>88.816</v>
      </c>
      <c r="P14" s="2">
        <v>89.007</v>
      </c>
      <c r="Q14" s="2">
        <v>91.492</v>
      </c>
      <c r="R14" s="2">
        <v>89.443</v>
      </c>
      <c r="S14" s="2">
        <v>90.503</v>
      </c>
    </row>
    <row r="15">
      <c r="A15" s="2" t="s">
        <v>20</v>
      </c>
      <c r="B15" s="2" t="s">
        <v>26</v>
      </c>
      <c r="D15" s="2" t="s">
        <v>23</v>
      </c>
      <c r="E15" s="2">
        <v>180.0</v>
      </c>
      <c r="F15" s="2">
        <v>179.682</v>
      </c>
      <c r="G15" s="3"/>
      <c r="I15" s="2">
        <f t="shared" si="3"/>
        <v>0.318</v>
      </c>
      <c r="M15" s="2">
        <f t="shared" si="4"/>
        <v>0.101124</v>
      </c>
      <c r="O15" s="2">
        <v>180.633</v>
      </c>
      <c r="P15" s="2">
        <v>180.983</v>
      </c>
      <c r="Q15" s="2">
        <v>180.46</v>
      </c>
      <c r="R15" s="2">
        <v>180.653</v>
      </c>
      <c r="S15" s="2">
        <v>178.619</v>
      </c>
    </row>
    <row r="16">
      <c r="A16" s="2" t="s">
        <v>20</v>
      </c>
      <c r="B16" s="2" t="s">
        <v>26</v>
      </c>
      <c r="D16" s="2" t="s">
        <v>23</v>
      </c>
      <c r="E16" s="2">
        <v>270.0</v>
      </c>
      <c r="F16" s="2">
        <v>270.004</v>
      </c>
      <c r="G16" s="3"/>
      <c r="I16" s="2">
        <f t="shared" si="3"/>
        <v>0.004</v>
      </c>
      <c r="K16" s="2">
        <f>AVERAGE(I11:I16)</f>
        <v>0.108</v>
      </c>
      <c r="M16" s="2">
        <f t="shared" si="4"/>
        <v>0.000016</v>
      </c>
      <c r="O16" s="2">
        <v>270.09</v>
      </c>
      <c r="P16" s="2">
        <v>269.601</v>
      </c>
      <c r="Q16" s="2">
        <v>269.322</v>
      </c>
      <c r="R16" s="2">
        <v>270.221</v>
      </c>
      <c r="S16" s="2">
        <v>270.727</v>
      </c>
    </row>
    <row r="17">
      <c r="G17" s="3"/>
      <c r="M17" s="2" t="str">
        <f>IF(I17 ="","", I17^2)</f>
        <v/>
      </c>
      <c r="O17" s="2" t="s">
        <v>24</v>
      </c>
      <c r="P17" s="2" t="s">
        <v>24</v>
      </c>
      <c r="Q17" s="2" t="s">
        <v>24</v>
      </c>
      <c r="R17" s="2" t="s">
        <v>24</v>
      </c>
      <c r="S17" s="2" t="s">
        <v>24</v>
      </c>
    </row>
    <row r="18">
      <c r="A18" s="2" t="s">
        <v>1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3"/>
      <c r="I18" s="2" t="s">
        <v>25</v>
      </c>
    </row>
    <row r="19">
      <c r="A19" s="2" t="s">
        <v>20</v>
      </c>
      <c r="B19" s="2" t="s">
        <v>27</v>
      </c>
      <c r="C19" s="2" t="s">
        <v>22</v>
      </c>
      <c r="D19" s="2" t="s">
        <v>23</v>
      </c>
      <c r="E19" s="2">
        <v>0.0</v>
      </c>
      <c r="F19" s="2">
        <v>359.69</v>
      </c>
      <c r="G19" s="3"/>
      <c r="I19" s="2">
        <f t="shared" ref="I19:I24" si="5">IF(ISNUMBER(E19), MIN(ABS(F19-E19), 360-ABS(F19-E19)), "")</f>
        <v>0.31</v>
      </c>
      <c r="M19" s="2">
        <f t="shared" ref="M19:M24" si="6">IF(ISNUMBER(I19), I19^2, "")</f>
        <v>0.0961</v>
      </c>
      <c r="O19" s="2">
        <v>359.533</v>
      </c>
      <c r="P19" s="2">
        <v>358.24</v>
      </c>
      <c r="Q19" s="2">
        <v>358.203</v>
      </c>
      <c r="R19" s="2">
        <v>360.304</v>
      </c>
      <c r="S19" s="2">
        <v>359.368</v>
      </c>
      <c r="U19" s="2">
        <f>AVERAGE(I19:I24)</f>
        <v>0.2216666667</v>
      </c>
      <c r="W19" s="2">
        <f>SQRT(AVERAGE(M19:M24))</f>
        <v>0.2342719218</v>
      </c>
      <c r="Y19" s="5">
        <f t="array" ref="Y19">AVERAGE(IF(F19:F24-E19:E24&gt;180, F19:F24-E19:E24-360, IF(F19:F24-E19:E24&lt;-180, F19:F24-E19:E24+360, F19:F24-E19:E24)))</f>
        <v>-0.09166666667</v>
      </c>
      <c r="AA19" s="5">
        <f t="array" ref="AA19">STDEV(IF(F19:F24-E19:E24&gt;180, F19:F24-E19:E24-360, IF(F19:F24-E19:E24&lt;-180, F19:F24-E19:E24+360, F19:F24-E19:E24)))</f>
        <v>0.2361708421</v>
      </c>
      <c r="AC19" s="2" t="str">
        <f>TEXT(Y19, "0.00") &amp; " ± " &amp; TEXT(1.96 * AA19 / SQRT(6), "0.00")</f>
        <v>-0.09 ± 0.19</v>
      </c>
    </row>
    <row r="20">
      <c r="A20" s="2" t="s">
        <v>20</v>
      </c>
      <c r="B20" s="2" t="s">
        <v>27</v>
      </c>
      <c r="D20" s="2" t="s">
        <v>23</v>
      </c>
      <c r="E20" s="2">
        <v>22.5</v>
      </c>
      <c r="F20" s="2">
        <v>22.27</v>
      </c>
      <c r="G20" s="3"/>
      <c r="I20" s="2">
        <f t="shared" si="5"/>
        <v>0.23</v>
      </c>
      <c r="M20" s="2">
        <f t="shared" si="6"/>
        <v>0.0529</v>
      </c>
      <c r="O20" s="2">
        <v>21.46</v>
      </c>
      <c r="P20" s="2">
        <v>21.971</v>
      </c>
      <c r="Q20" s="2">
        <v>22.828</v>
      </c>
      <c r="R20" s="2">
        <v>21.081</v>
      </c>
      <c r="S20" s="2">
        <v>21.848</v>
      </c>
      <c r="W20" s="2">
        <f t="shared" ref="W20:W26" si="7">SQRT(U20)</f>
        <v>0</v>
      </c>
    </row>
    <row r="21" ht="15.75" customHeight="1">
      <c r="A21" s="2" t="s">
        <v>20</v>
      </c>
      <c r="B21" s="2" t="s">
        <v>27</v>
      </c>
      <c r="D21" s="2" t="s">
        <v>23</v>
      </c>
      <c r="E21" s="2">
        <v>45.0</v>
      </c>
      <c r="F21" s="2">
        <v>44.91</v>
      </c>
      <c r="G21" s="3"/>
      <c r="I21" s="2">
        <f t="shared" si="5"/>
        <v>0.09</v>
      </c>
      <c r="M21" s="2">
        <f t="shared" si="6"/>
        <v>0.0081</v>
      </c>
      <c r="O21" s="2">
        <v>45.373</v>
      </c>
      <c r="P21" s="2">
        <v>44.318</v>
      </c>
      <c r="Q21" s="2">
        <v>46.072</v>
      </c>
      <c r="R21" s="2">
        <v>43.594</v>
      </c>
      <c r="S21" s="2">
        <v>45.999</v>
      </c>
      <c r="W21" s="2">
        <f t="shared" si="7"/>
        <v>0</v>
      </c>
    </row>
    <row r="22" ht="15.75" customHeight="1">
      <c r="A22" s="2" t="s">
        <v>20</v>
      </c>
      <c r="B22" s="2" t="s">
        <v>27</v>
      </c>
      <c r="D22" s="2" t="s">
        <v>23</v>
      </c>
      <c r="E22" s="2">
        <v>90.0</v>
      </c>
      <c r="F22" s="2">
        <v>90.19</v>
      </c>
      <c r="G22" s="3"/>
      <c r="I22" s="2">
        <f t="shared" si="5"/>
        <v>0.19</v>
      </c>
      <c r="M22" s="2">
        <f t="shared" si="6"/>
        <v>0.0361</v>
      </c>
      <c r="O22" s="2">
        <v>90.894</v>
      </c>
      <c r="P22" s="2">
        <v>90.581</v>
      </c>
      <c r="Q22" s="2">
        <v>91.285</v>
      </c>
      <c r="R22" s="2">
        <v>91.182</v>
      </c>
      <c r="S22" s="2">
        <v>89.097</v>
      </c>
      <c r="W22" s="2">
        <f t="shared" si="7"/>
        <v>0</v>
      </c>
    </row>
    <row r="23" ht="15.75" customHeight="1">
      <c r="A23" s="2" t="s">
        <v>20</v>
      </c>
      <c r="B23" s="2" t="s">
        <v>27</v>
      </c>
      <c r="D23" s="2" t="s">
        <v>23</v>
      </c>
      <c r="E23" s="2">
        <v>180.0</v>
      </c>
      <c r="F23" s="2">
        <v>179.69</v>
      </c>
      <c r="G23" s="3"/>
      <c r="I23" s="2">
        <f t="shared" si="5"/>
        <v>0.31</v>
      </c>
      <c r="M23" s="2">
        <f t="shared" si="6"/>
        <v>0.0961</v>
      </c>
      <c r="O23" s="2">
        <v>178.822</v>
      </c>
      <c r="P23" s="2">
        <v>179.67</v>
      </c>
      <c r="Q23" s="2">
        <v>178.93</v>
      </c>
      <c r="R23" s="2">
        <v>178.764</v>
      </c>
      <c r="S23" s="2">
        <v>180.844</v>
      </c>
      <c r="W23" s="2">
        <f t="shared" si="7"/>
        <v>0</v>
      </c>
    </row>
    <row r="24" ht="15.75" customHeight="1">
      <c r="A24" s="2" t="s">
        <v>20</v>
      </c>
      <c r="B24" s="2" t="s">
        <v>27</v>
      </c>
      <c r="D24" s="2" t="s">
        <v>23</v>
      </c>
      <c r="E24" s="2">
        <v>270.0</v>
      </c>
      <c r="F24" s="2">
        <v>270.2</v>
      </c>
      <c r="G24" s="3"/>
      <c r="I24" s="2">
        <f t="shared" si="5"/>
        <v>0.2</v>
      </c>
      <c r="K24" s="2">
        <f>AVERAGE(I19:I24)</f>
        <v>0.2216666667</v>
      </c>
      <c r="M24" s="2">
        <f t="shared" si="6"/>
        <v>0.04</v>
      </c>
      <c r="O24" s="2">
        <v>270.196</v>
      </c>
      <c r="P24" s="2">
        <v>269.736</v>
      </c>
      <c r="Q24" s="2">
        <v>269.679</v>
      </c>
      <c r="R24" s="2">
        <v>268.838</v>
      </c>
      <c r="S24" s="2">
        <v>270.64</v>
      </c>
      <c r="W24" s="2">
        <f t="shared" si="7"/>
        <v>0</v>
      </c>
    </row>
    <row r="25" ht="15.75" customHeight="1">
      <c r="G25" s="3"/>
      <c r="M25" s="2" t="str">
        <f>IF(I25 ="","", I25^2)</f>
        <v/>
      </c>
      <c r="O25" s="2" t="s">
        <v>24</v>
      </c>
      <c r="P25" s="2" t="s">
        <v>24</v>
      </c>
      <c r="Q25" s="2" t="s">
        <v>24</v>
      </c>
      <c r="R25" s="2" t="s">
        <v>24</v>
      </c>
      <c r="S25" s="2" t="s">
        <v>24</v>
      </c>
      <c r="W25" s="2">
        <f t="shared" si="7"/>
        <v>0</v>
      </c>
    </row>
    <row r="26" ht="15.75" customHeight="1">
      <c r="A26" s="2" t="s">
        <v>1</v>
      </c>
      <c r="B26" s="2" t="s">
        <v>2</v>
      </c>
      <c r="C26" s="2" t="s">
        <v>3</v>
      </c>
      <c r="D26" s="2" t="s">
        <v>4</v>
      </c>
      <c r="E26" s="2" t="s">
        <v>5</v>
      </c>
      <c r="F26" s="2" t="s">
        <v>6</v>
      </c>
      <c r="G26" s="3"/>
      <c r="I26" s="2" t="s">
        <v>25</v>
      </c>
      <c r="W26" s="2">
        <f t="shared" si="7"/>
        <v>0</v>
      </c>
    </row>
    <row r="27" ht="15.75" customHeight="1">
      <c r="A27" s="2" t="s">
        <v>20</v>
      </c>
      <c r="B27" s="2" t="s">
        <v>21</v>
      </c>
      <c r="C27" s="2" t="s">
        <v>28</v>
      </c>
      <c r="D27" s="2" t="s">
        <v>23</v>
      </c>
      <c r="E27" s="2">
        <v>0.0</v>
      </c>
      <c r="F27" s="2">
        <v>359.9</v>
      </c>
      <c r="G27" s="3"/>
      <c r="I27" s="2">
        <f t="shared" ref="I27:I32" si="8">IF(ISNUMBER(E27), MIN(ABS(F27-E27), 360-ABS(F27-E27)), "")</f>
        <v>0.1</v>
      </c>
      <c r="M27" s="2">
        <f t="shared" ref="M27:M32" si="9">IF(ISNUMBER(I27), I27^2, "")</f>
        <v>0.01</v>
      </c>
      <c r="O27" s="2">
        <v>361.357</v>
      </c>
      <c r="P27" s="2">
        <v>361.293</v>
      </c>
      <c r="Q27" s="2">
        <v>359.786</v>
      </c>
      <c r="R27" s="2">
        <v>361.082</v>
      </c>
      <c r="S27" s="2">
        <v>359.772</v>
      </c>
      <c r="U27" s="2">
        <f>AVERAGE(I27:I32)</f>
        <v>0.01666666667</v>
      </c>
      <c r="W27" s="2">
        <f>SQRT(AVERAGE(M27:M32))</f>
        <v>0.04082482905</v>
      </c>
      <c r="Y27" s="5">
        <f t="array" ref="Y27">AVERAGE(IF(F27:F32-E27:E32&gt;180, F27:F32-E27:E32-360, IF(F27:F32-E27:E32&lt;-180, F27:F32-E27:E32+360, F27:F32-E27:E32)))</f>
        <v>-0.01666666667</v>
      </c>
      <c r="AA27" s="5">
        <f t="array" ref="AA27">STDEV(IF(F27:F32-E27:E32&gt;180, F27:F32-E27:E32-360, IF(F27:F32-E27:E32&lt;-180, F27:F32-E27:E32+360, F27:F32-E27:E32)))</f>
        <v>0.04082482905</v>
      </c>
      <c r="AC27" s="2" t="str">
        <f>TEXT(Y27, "0.00") &amp; " ± " &amp; TEXT(1.96 * AA27 / SQRT(6), "0.00")</f>
        <v>-0.02 ± 0.03</v>
      </c>
    </row>
    <row r="28" ht="15.75" customHeight="1">
      <c r="A28" s="2" t="s">
        <v>20</v>
      </c>
      <c r="B28" s="2" t="s">
        <v>21</v>
      </c>
      <c r="D28" s="2" t="s">
        <v>23</v>
      </c>
      <c r="E28" s="2">
        <v>22.5</v>
      </c>
      <c r="F28" s="2">
        <v>22.5</v>
      </c>
      <c r="G28" s="3"/>
      <c r="I28" s="2">
        <f t="shared" si="8"/>
        <v>0</v>
      </c>
      <c r="M28" s="2">
        <f t="shared" si="9"/>
        <v>0</v>
      </c>
      <c r="O28" s="2">
        <v>22.484</v>
      </c>
      <c r="P28" s="2">
        <v>21.012</v>
      </c>
      <c r="Q28" s="2">
        <v>21.154</v>
      </c>
      <c r="R28" s="2">
        <v>23.387</v>
      </c>
      <c r="S28" s="2">
        <v>23.957</v>
      </c>
      <c r="W28" s="2">
        <f t="shared" ref="W28:W33" si="10">SQRT(U28)</f>
        <v>0</v>
      </c>
    </row>
    <row r="29" ht="15.75" customHeight="1">
      <c r="A29" s="2" t="s">
        <v>20</v>
      </c>
      <c r="B29" s="2" t="s">
        <v>21</v>
      </c>
      <c r="D29" s="2" t="s">
        <v>23</v>
      </c>
      <c r="E29" s="2">
        <v>45.0</v>
      </c>
      <c r="F29" s="2">
        <v>45.0</v>
      </c>
      <c r="G29" s="3"/>
      <c r="I29" s="2">
        <f t="shared" si="8"/>
        <v>0</v>
      </c>
      <c r="M29" s="2">
        <f t="shared" si="9"/>
        <v>0</v>
      </c>
      <c r="O29" s="2">
        <v>45.2</v>
      </c>
      <c r="P29" s="2">
        <v>46.139</v>
      </c>
      <c r="Q29" s="2">
        <v>45.079</v>
      </c>
      <c r="R29" s="2">
        <v>45.766</v>
      </c>
      <c r="S29" s="2">
        <v>43.808</v>
      </c>
      <c r="W29" s="2">
        <f t="shared" si="10"/>
        <v>0</v>
      </c>
    </row>
    <row r="30" ht="15.75" customHeight="1">
      <c r="A30" s="2" t="s">
        <v>20</v>
      </c>
      <c r="B30" s="2" t="s">
        <v>21</v>
      </c>
      <c r="D30" s="2" t="s">
        <v>23</v>
      </c>
      <c r="E30" s="2">
        <v>90.0</v>
      </c>
      <c r="F30" s="2">
        <v>90.0</v>
      </c>
      <c r="G30" s="3"/>
      <c r="I30" s="2">
        <f t="shared" si="8"/>
        <v>0</v>
      </c>
      <c r="M30" s="2">
        <f t="shared" si="9"/>
        <v>0</v>
      </c>
      <c r="O30" s="2">
        <v>91.371</v>
      </c>
      <c r="P30" s="2">
        <v>90.925</v>
      </c>
      <c r="Q30" s="2">
        <v>90.755</v>
      </c>
      <c r="R30" s="2">
        <v>89.946</v>
      </c>
      <c r="S30" s="2">
        <v>90.237</v>
      </c>
      <c r="W30" s="2">
        <f t="shared" si="10"/>
        <v>0</v>
      </c>
    </row>
    <row r="31" ht="15.75" customHeight="1">
      <c r="A31" s="2" t="s">
        <v>20</v>
      </c>
      <c r="B31" s="2" t="s">
        <v>21</v>
      </c>
      <c r="D31" s="2" t="s">
        <v>23</v>
      </c>
      <c r="E31" s="2">
        <v>180.0</v>
      </c>
      <c r="F31" s="2">
        <v>180.0</v>
      </c>
      <c r="G31" s="3"/>
      <c r="I31" s="2">
        <f t="shared" si="8"/>
        <v>0</v>
      </c>
      <c r="K31" s="2">
        <f>AVERAGE(I27:I32)</f>
        <v>0.01666666667</v>
      </c>
      <c r="M31" s="2">
        <f t="shared" si="9"/>
        <v>0</v>
      </c>
      <c r="O31" s="2">
        <v>179.505</v>
      </c>
      <c r="P31" s="2">
        <v>179.877</v>
      </c>
      <c r="Q31" s="2">
        <v>181.15</v>
      </c>
      <c r="R31" s="2">
        <v>179.462</v>
      </c>
      <c r="S31" s="2">
        <v>178.689</v>
      </c>
      <c r="W31" s="2">
        <f t="shared" si="10"/>
        <v>0</v>
      </c>
    </row>
    <row r="32" ht="15.75" customHeight="1">
      <c r="A32" s="2" t="s">
        <v>20</v>
      </c>
      <c r="B32" s="2" t="s">
        <v>21</v>
      </c>
      <c r="D32" s="2" t="s">
        <v>23</v>
      </c>
      <c r="E32" s="2">
        <v>270.0</v>
      </c>
      <c r="F32" s="2">
        <v>270.0</v>
      </c>
      <c r="G32" s="3"/>
      <c r="I32" s="2">
        <f t="shared" si="8"/>
        <v>0</v>
      </c>
      <c r="M32" s="2">
        <f t="shared" si="9"/>
        <v>0</v>
      </c>
      <c r="O32" s="2">
        <v>270.41</v>
      </c>
      <c r="P32" s="2">
        <v>268.532</v>
      </c>
      <c r="Q32" s="2">
        <v>268.9</v>
      </c>
      <c r="R32" s="2">
        <v>270.23</v>
      </c>
      <c r="S32" s="2">
        <v>270.231</v>
      </c>
      <c r="W32" s="2">
        <f t="shared" si="10"/>
        <v>0</v>
      </c>
    </row>
    <row r="33" ht="15.75" customHeight="1">
      <c r="G33" s="3"/>
      <c r="M33" s="2" t="str">
        <f>IF(I33 ="","", I33^2)</f>
        <v/>
      </c>
      <c r="O33" s="2" t="s">
        <v>24</v>
      </c>
      <c r="P33" s="2" t="s">
        <v>24</v>
      </c>
      <c r="Q33" s="2" t="s">
        <v>24</v>
      </c>
      <c r="R33" s="2" t="s">
        <v>24</v>
      </c>
      <c r="S33" s="2" t="s">
        <v>24</v>
      </c>
      <c r="W33" s="2">
        <f t="shared" si="10"/>
        <v>0</v>
      </c>
    </row>
    <row r="34" ht="15.75" customHeight="1">
      <c r="A34" s="2" t="s">
        <v>1</v>
      </c>
      <c r="B34" s="2" t="s">
        <v>2</v>
      </c>
      <c r="C34" s="2" t="s">
        <v>3</v>
      </c>
      <c r="D34" s="2" t="s">
        <v>4</v>
      </c>
      <c r="E34" s="2" t="s">
        <v>5</v>
      </c>
      <c r="F34" s="2" t="s">
        <v>6</v>
      </c>
      <c r="G34" s="3"/>
      <c r="I34" s="2" t="s">
        <v>25</v>
      </c>
      <c r="U34" s="2">
        <f>AVERAGE(I35:I40)</f>
        <v>0.1065</v>
      </c>
      <c r="W34" s="2">
        <f>SQRT(AVERAGE(M35:M40))</f>
        <v>0.1824495364</v>
      </c>
      <c r="Y34" s="5">
        <v>-0.02</v>
      </c>
      <c r="AA34" s="5">
        <v>0.83</v>
      </c>
    </row>
    <row r="35" ht="15.75" customHeight="1">
      <c r="A35" s="2" t="s">
        <v>20</v>
      </c>
      <c r="B35" s="2" t="s">
        <v>26</v>
      </c>
      <c r="C35" s="2" t="s">
        <v>28</v>
      </c>
      <c r="D35" s="2" t="s">
        <v>23</v>
      </c>
      <c r="E35" s="2">
        <v>0.0</v>
      </c>
      <c r="F35" s="2">
        <v>359.684</v>
      </c>
      <c r="G35" s="3"/>
      <c r="I35" s="2">
        <f t="shared" ref="I35:I40" si="11">IF(ISNUMBER(E35), MIN(ABS(F35-E35), 360-ABS(F35-E35)), "")</f>
        <v>0.316</v>
      </c>
      <c r="M35" s="2">
        <f t="shared" ref="M35:M40" si="12">IF(ISNUMBER(I35), I35^2, "")</f>
        <v>0.099856</v>
      </c>
      <c r="O35" s="2">
        <v>358.85</v>
      </c>
      <c r="P35" s="2">
        <v>359.247</v>
      </c>
      <c r="Q35" s="2">
        <v>360.427</v>
      </c>
      <c r="R35" s="2">
        <v>361.152</v>
      </c>
      <c r="S35" s="2">
        <v>358.24</v>
      </c>
      <c r="U35" s="2">
        <f>AVERAGE(I35:I40)</f>
        <v>0.1065</v>
      </c>
      <c r="W35" s="2">
        <f>SQRT(AVERAGE(M35:M40))</f>
        <v>0.1824495364</v>
      </c>
      <c r="Y35" s="2">
        <f t="array" ref="Y35">AVERAGE(IF(F35:F40-E35:E40&gt;180, F35:F40-E35:E40-360, IF(F35:F40-E35:E40&lt;-180, F35:F40-E35:E40+360, F35:F40-E35:E40)))</f>
        <v>-0.1055</v>
      </c>
      <c r="AA35" s="2">
        <f t="array" ref="AA35">STDEV(IF(F35:F40-E35:E40&gt;180, F35:F40-E35:E40-360, IF(F35:F40-E35:E40&lt;-180, F35:F40-E35:E40+360, F35:F40-E35:E40)))</f>
        <v>0.1630616448</v>
      </c>
      <c r="AC35" s="2" t="str">
        <f>TEXT(Y35, "0.00") &amp; " ± " &amp; TEXT(1.96 * AA35 / SQRT(6), "0.00")</f>
        <v>-0.11 ± 0.13</v>
      </c>
    </row>
    <row r="36" ht="15.75" customHeight="1">
      <c r="A36" s="2" t="s">
        <v>20</v>
      </c>
      <c r="B36" s="2" t="s">
        <v>26</v>
      </c>
      <c r="D36" s="2" t="s">
        <v>23</v>
      </c>
      <c r="E36" s="2">
        <v>22.5</v>
      </c>
      <c r="F36" s="2">
        <v>22.499</v>
      </c>
      <c r="G36" s="3"/>
      <c r="I36" s="2">
        <f t="shared" si="11"/>
        <v>0.001</v>
      </c>
      <c r="M36" s="2">
        <f t="shared" si="12"/>
        <v>0.000001</v>
      </c>
      <c r="O36" s="2">
        <v>22.051</v>
      </c>
      <c r="P36" s="2">
        <v>23.773</v>
      </c>
      <c r="Q36" s="2">
        <v>23.779</v>
      </c>
      <c r="R36" s="2">
        <v>22.865</v>
      </c>
      <c r="S36" s="2">
        <v>21.334</v>
      </c>
      <c r="W36" s="2">
        <f t="shared" ref="W36:W42" si="13">SQRT(U36)</f>
        <v>0</v>
      </c>
    </row>
    <row r="37" ht="15.75" customHeight="1">
      <c r="A37" s="2" t="s">
        <v>20</v>
      </c>
      <c r="B37" s="2" t="s">
        <v>26</v>
      </c>
      <c r="D37" s="2" t="s">
        <v>23</v>
      </c>
      <c r="E37" s="2">
        <v>45.0</v>
      </c>
      <c r="F37" s="2">
        <v>45.001</v>
      </c>
      <c r="G37" s="3"/>
      <c r="I37" s="2">
        <f t="shared" si="11"/>
        <v>0.001</v>
      </c>
      <c r="M37" s="2">
        <f t="shared" si="12"/>
        <v>0.000001</v>
      </c>
      <c r="O37" s="2">
        <v>45.331</v>
      </c>
      <c r="P37" s="2">
        <v>46.34</v>
      </c>
      <c r="Q37" s="2">
        <v>45.128</v>
      </c>
      <c r="R37" s="2">
        <v>45.428</v>
      </c>
      <c r="S37" s="2">
        <v>44.441</v>
      </c>
      <c r="W37" s="2">
        <f t="shared" si="13"/>
        <v>0</v>
      </c>
    </row>
    <row r="38" ht="15.75" customHeight="1">
      <c r="A38" s="2" t="s">
        <v>20</v>
      </c>
      <c r="B38" s="2" t="s">
        <v>26</v>
      </c>
      <c r="D38" s="2" t="s">
        <v>23</v>
      </c>
      <c r="E38" s="2">
        <v>90.0</v>
      </c>
      <c r="F38" s="2">
        <v>90.002</v>
      </c>
      <c r="G38" s="3"/>
      <c r="I38" s="2">
        <f t="shared" si="11"/>
        <v>0.002</v>
      </c>
      <c r="M38" s="2">
        <f t="shared" si="12"/>
        <v>0.000004</v>
      </c>
      <c r="O38" s="2">
        <v>90.291</v>
      </c>
      <c r="P38" s="2">
        <v>90.692</v>
      </c>
      <c r="Q38" s="2">
        <v>89.714</v>
      </c>
      <c r="R38" s="2">
        <v>90.197</v>
      </c>
      <c r="S38" s="2">
        <v>91.362</v>
      </c>
      <c r="W38" s="2">
        <f t="shared" si="13"/>
        <v>0</v>
      </c>
    </row>
    <row r="39" ht="15.75" customHeight="1">
      <c r="A39" s="2" t="s">
        <v>20</v>
      </c>
      <c r="B39" s="2" t="s">
        <v>26</v>
      </c>
      <c r="D39" s="2" t="s">
        <v>23</v>
      </c>
      <c r="E39" s="2">
        <v>180.0</v>
      </c>
      <c r="F39" s="2">
        <v>179.684</v>
      </c>
      <c r="G39" s="3"/>
      <c r="I39" s="2">
        <f t="shared" si="11"/>
        <v>0.316</v>
      </c>
      <c r="M39" s="2">
        <f t="shared" si="12"/>
        <v>0.099856</v>
      </c>
      <c r="O39" s="2">
        <v>181.127</v>
      </c>
      <c r="P39" s="2">
        <v>179.021</v>
      </c>
      <c r="Q39" s="2">
        <v>179.159</v>
      </c>
      <c r="R39" s="2">
        <v>179.751</v>
      </c>
      <c r="S39" s="2">
        <v>179.054</v>
      </c>
      <c r="W39" s="2">
        <f t="shared" si="13"/>
        <v>0</v>
      </c>
    </row>
    <row r="40" ht="15.75" customHeight="1">
      <c r="A40" s="2" t="s">
        <v>20</v>
      </c>
      <c r="B40" s="2" t="s">
        <v>26</v>
      </c>
      <c r="D40" s="2" t="s">
        <v>23</v>
      </c>
      <c r="E40" s="2">
        <v>270.0</v>
      </c>
      <c r="F40" s="2">
        <v>269.997</v>
      </c>
      <c r="G40" s="3"/>
      <c r="I40" s="2">
        <f t="shared" si="11"/>
        <v>0.003</v>
      </c>
      <c r="K40" s="2">
        <f>AVERAGE(I35:I40)</f>
        <v>0.1065</v>
      </c>
      <c r="M40" s="2">
        <f t="shared" si="12"/>
        <v>0.000009</v>
      </c>
      <c r="O40" s="2">
        <v>270.442</v>
      </c>
      <c r="P40" s="2">
        <v>270.647</v>
      </c>
      <c r="Q40" s="2">
        <v>268.577</v>
      </c>
      <c r="R40" s="2">
        <v>269.065</v>
      </c>
      <c r="S40" s="2">
        <v>269.935</v>
      </c>
      <c r="W40" s="2">
        <f t="shared" si="13"/>
        <v>0</v>
      </c>
    </row>
    <row r="41" ht="15.75" customHeight="1">
      <c r="G41" s="3"/>
      <c r="M41" s="2" t="str">
        <f>IF(I41 ="","", I41^2)</f>
        <v/>
      </c>
      <c r="O41" s="2" t="s">
        <v>24</v>
      </c>
      <c r="P41" s="2" t="s">
        <v>24</v>
      </c>
      <c r="Q41" s="2" t="s">
        <v>24</v>
      </c>
      <c r="R41" s="2" t="s">
        <v>24</v>
      </c>
      <c r="S41" s="2" t="s">
        <v>24</v>
      </c>
      <c r="W41" s="2">
        <f t="shared" si="13"/>
        <v>0</v>
      </c>
    </row>
    <row r="42" ht="15.75" customHeight="1">
      <c r="A42" s="2" t="s">
        <v>1</v>
      </c>
      <c r="B42" s="2" t="s">
        <v>2</v>
      </c>
      <c r="C42" s="2" t="s">
        <v>3</v>
      </c>
      <c r="D42" s="2" t="s">
        <v>4</v>
      </c>
      <c r="E42" s="2" t="s">
        <v>5</v>
      </c>
      <c r="F42" s="2" t="s">
        <v>6</v>
      </c>
      <c r="G42" s="3"/>
      <c r="I42" s="2" t="s">
        <v>7</v>
      </c>
      <c r="W42" s="2">
        <f t="shared" si="13"/>
        <v>0</v>
      </c>
    </row>
    <row r="43" ht="15.75" customHeight="1">
      <c r="A43" s="2" t="s">
        <v>20</v>
      </c>
      <c r="B43" s="2" t="s">
        <v>27</v>
      </c>
      <c r="C43" s="2" t="s">
        <v>28</v>
      </c>
      <c r="D43" s="2" t="s">
        <v>23</v>
      </c>
      <c r="E43" s="2">
        <v>0.0</v>
      </c>
      <c r="F43" s="2">
        <v>359.68</v>
      </c>
      <c r="G43" s="3"/>
      <c r="I43" s="2">
        <f t="shared" ref="I43:I48" si="14">IF(ISNUMBER(E43), MIN(ABS(F43-E43), 360-ABS(F43-E43)), "")</f>
        <v>0.32</v>
      </c>
      <c r="M43" s="2">
        <f t="shared" ref="M43:M48" si="15">IF(ISNUMBER(I43), I43^2, "")</f>
        <v>0.1024</v>
      </c>
      <c r="O43" s="2">
        <v>360.72</v>
      </c>
      <c r="P43" s="2">
        <v>358.673</v>
      </c>
      <c r="Q43" s="2">
        <v>358.234</v>
      </c>
      <c r="R43" s="2">
        <v>360.043</v>
      </c>
      <c r="S43" s="2">
        <v>359.5</v>
      </c>
      <c r="U43" s="2">
        <f>AVERAGE(I43:I48)</f>
        <v>0.3416666667</v>
      </c>
      <c r="W43" s="2">
        <f>SQRT(AVERAGE(M43:M48))</f>
        <v>0.4040833247</v>
      </c>
      <c r="Y43" s="5">
        <f t="array" ref="Y43">AVERAGE(IF(F43:F48-E43:E48&gt;180, F43:F48-E43:E48-360, IF(F43:F48-E43:E48&lt;-180, F43:F48-E43:E48+360, F43:F48-E43:E48)))</f>
        <v>-0.215</v>
      </c>
      <c r="AA43" s="5">
        <f t="array" ref="AA43">STDEV(IF(F43:F48-E43:E48&gt;180, F43:F48-E43:E48-360, IF(F43:F48-E43:E48&lt;-180, F43:F48-E43:E48+360, F43:F48-E43:E48)))</f>
        <v>0.3747932764</v>
      </c>
      <c r="AC43" s="2" t="str">
        <f>TEXT(Y43, "0.00") &amp; " ± " &amp; TEXT(1.96 * AA43 / SQRT(6), "0.00")</f>
        <v>-0.22 ± 0.30</v>
      </c>
    </row>
    <row r="44" ht="15.75" customHeight="1">
      <c r="A44" s="2" t="s">
        <v>20</v>
      </c>
      <c r="B44" s="2" t="s">
        <v>27</v>
      </c>
      <c r="D44" s="2" t="s">
        <v>23</v>
      </c>
      <c r="E44" s="2">
        <v>22.5</v>
      </c>
      <c r="F44" s="2">
        <v>22.27</v>
      </c>
      <c r="G44" s="3"/>
      <c r="I44" s="2">
        <f t="shared" si="14"/>
        <v>0.23</v>
      </c>
      <c r="M44" s="2">
        <f t="shared" si="15"/>
        <v>0.0529</v>
      </c>
      <c r="O44" s="2">
        <v>20.77</v>
      </c>
      <c r="P44" s="2">
        <v>23.037</v>
      </c>
      <c r="Q44" s="2">
        <v>22.105</v>
      </c>
      <c r="R44" s="2">
        <v>22.187</v>
      </c>
      <c r="S44" s="2">
        <v>23.376</v>
      </c>
      <c r="W44" s="2">
        <f t="shared" ref="W44:W51" si="16">SQRT(U44)</f>
        <v>0</v>
      </c>
    </row>
    <row r="45" ht="15.75" customHeight="1">
      <c r="A45" s="2" t="s">
        <v>20</v>
      </c>
      <c r="B45" s="2" t="s">
        <v>27</v>
      </c>
      <c r="D45" s="2" t="s">
        <v>23</v>
      </c>
      <c r="E45" s="2">
        <v>45.0</v>
      </c>
      <c r="F45" s="2">
        <v>44.19</v>
      </c>
      <c r="G45" s="3"/>
      <c r="I45" s="2">
        <f t="shared" si="14"/>
        <v>0.81</v>
      </c>
      <c r="M45" s="2">
        <f t="shared" si="15"/>
        <v>0.6561</v>
      </c>
      <c r="O45" s="2">
        <v>43.975</v>
      </c>
      <c r="P45" s="2">
        <v>43.767</v>
      </c>
      <c r="Q45" s="2">
        <v>44.246</v>
      </c>
      <c r="R45" s="2">
        <v>42.78</v>
      </c>
      <c r="S45" s="2">
        <v>43.134</v>
      </c>
      <c r="W45" s="2">
        <f t="shared" si="16"/>
        <v>0</v>
      </c>
    </row>
    <row r="46" ht="15.75" customHeight="1">
      <c r="A46" s="2" t="s">
        <v>20</v>
      </c>
      <c r="B46" s="2" t="s">
        <v>27</v>
      </c>
      <c r="D46" s="2" t="s">
        <v>23</v>
      </c>
      <c r="E46" s="2">
        <v>90.0</v>
      </c>
      <c r="F46" s="2">
        <v>90.19</v>
      </c>
      <c r="G46" s="3"/>
      <c r="I46" s="2">
        <f t="shared" si="14"/>
        <v>0.19</v>
      </c>
      <c r="M46" s="2">
        <f t="shared" si="15"/>
        <v>0.0361</v>
      </c>
      <c r="O46" s="2">
        <v>88.865</v>
      </c>
      <c r="P46" s="2">
        <v>88.769</v>
      </c>
      <c r="Q46" s="2">
        <v>91.195</v>
      </c>
      <c r="R46" s="2">
        <v>89.997</v>
      </c>
      <c r="S46" s="2">
        <v>90.348</v>
      </c>
      <c r="W46" s="2">
        <f t="shared" si="16"/>
        <v>0</v>
      </c>
    </row>
    <row r="47" ht="15.75" customHeight="1">
      <c r="A47" s="2" t="s">
        <v>20</v>
      </c>
      <c r="B47" s="2" t="s">
        <v>27</v>
      </c>
      <c r="D47" s="2" t="s">
        <v>23</v>
      </c>
      <c r="E47" s="2">
        <v>180.0</v>
      </c>
      <c r="F47" s="2">
        <v>179.69</v>
      </c>
      <c r="G47" s="3"/>
      <c r="I47" s="2">
        <f t="shared" si="14"/>
        <v>0.31</v>
      </c>
      <c r="M47" s="2">
        <f t="shared" si="15"/>
        <v>0.0961</v>
      </c>
      <c r="O47" s="2">
        <v>180.131</v>
      </c>
      <c r="P47" s="2">
        <v>179.533</v>
      </c>
      <c r="Q47" s="2">
        <v>181.068</v>
      </c>
      <c r="R47" s="2">
        <v>180.805</v>
      </c>
      <c r="S47" s="2">
        <v>180.264</v>
      </c>
      <c r="W47" s="2">
        <f t="shared" si="16"/>
        <v>0</v>
      </c>
    </row>
    <row r="48" ht="15.75" customHeight="1">
      <c r="A48" s="2" t="s">
        <v>20</v>
      </c>
      <c r="B48" s="2" t="s">
        <v>27</v>
      </c>
      <c r="D48" s="2" t="s">
        <v>23</v>
      </c>
      <c r="E48" s="2">
        <v>270.0</v>
      </c>
      <c r="F48" s="2">
        <v>270.19</v>
      </c>
      <c r="G48" s="3"/>
      <c r="I48" s="2">
        <f t="shared" si="14"/>
        <v>0.19</v>
      </c>
      <c r="K48" s="2">
        <f>AVERAGE(I43:I48)</f>
        <v>0.3416666667</v>
      </c>
      <c r="M48" s="2">
        <f t="shared" si="15"/>
        <v>0.0361</v>
      </c>
      <c r="O48" s="2">
        <v>268.849</v>
      </c>
      <c r="P48" s="2">
        <v>269.411</v>
      </c>
      <c r="Q48" s="2">
        <v>269.477</v>
      </c>
      <c r="R48" s="2">
        <v>269.814</v>
      </c>
      <c r="S48" s="2">
        <v>271.511</v>
      </c>
      <c r="W48" s="2">
        <f t="shared" si="16"/>
        <v>0</v>
      </c>
    </row>
    <row r="49" ht="15.75" customHeight="1">
      <c r="G49" s="3"/>
      <c r="M49" s="2" t="str">
        <f t="shared" ref="M49:M50" si="17">IF(I49 ="","", I49^2)</f>
        <v/>
      </c>
      <c r="O49" s="2" t="s">
        <v>24</v>
      </c>
      <c r="P49" s="2" t="s">
        <v>24</v>
      </c>
      <c r="Q49" s="2" t="s">
        <v>24</v>
      </c>
      <c r="R49" s="2" t="s">
        <v>24</v>
      </c>
      <c r="S49" s="2" t="s">
        <v>24</v>
      </c>
      <c r="W49" s="2">
        <f t="shared" si="16"/>
        <v>0</v>
      </c>
    </row>
    <row r="50" ht="15.75" customHeight="1">
      <c r="M50" s="2" t="str">
        <f t="shared" si="17"/>
        <v/>
      </c>
      <c r="O50" s="2" t="s">
        <v>24</v>
      </c>
      <c r="P50" s="2" t="s">
        <v>24</v>
      </c>
      <c r="Q50" s="2" t="s">
        <v>24</v>
      </c>
      <c r="R50" s="2" t="s">
        <v>24</v>
      </c>
      <c r="S50" s="2" t="s">
        <v>24</v>
      </c>
      <c r="W50" s="2">
        <f t="shared" si="16"/>
        <v>0</v>
      </c>
    </row>
    <row r="51" ht="15.75" customHeight="1">
      <c r="A51" s="2" t="s">
        <v>1</v>
      </c>
      <c r="B51" s="2" t="s">
        <v>2</v>
      </c>
      <c r="C51" s="2" t="s">
        <v>3</v>
      </c>
      <c r="D51" s="2" t="s">
        <v>4</v>
      </c>
      <c r="E51" s="2" t="s">
        <v>5</v>
      </c>
      <c r="F51" s="2" t="s">
        <v>6</v>
      </c>
      <c r="G51" s="7"/>
      <c r="I51" s="2" t="s">
        <v>7</v>
      </c>
      <c r="W51" s="2">
        <f t="shared" si="16"/>
        <v>0</v>
      </c>
    </row>
    <row r="52" ht="15.75" customHeight="1">
      <c r="A52" s="2" t="s">
        <v>29</v>
      </c>
      <c r="B52" s="2" t="s">
        <v>21</v>
      </c>
      <c r="C52" s="2" t="s">
        <v>22</v>
      </c>
      <c r="D52" s="2">
        <v>90.0</v>
      </c>
      <c r="E52" s="2">
        <v>0.0</v>
      </c>
      <c r="F52" s="2">
        <v>72.6</v>
      </c>
      <c r="G52" s="7"/>
      <c r="I52" s="2">
        <f t="shared" ref="I52:I57" si="18">IF(ISNUMBER(E52), MIN(ABS(F52-E52), 360-ABS(F52-E52)), "")</f>
        <v>72.6</v>
      </c>
      <c r="M52" s="2">
        <f t="shared" ref="M52:M57" si="19">IF(ISNUMBER(I52), I52^2, "")</f>
        <v>5270.76</v>
      </c>
      <c r="O52" s="2">
        <v>72.196</v>
      </c>
      <c r="P52" s="2">
        <v>72.112</v>
      </c>
      <c r="Q52" s="2">
        <v>71.318</v>
      </c>
      <c r="R52" s="2">
        <v>72.994</v>
      </c>
      <c r="S52" s="2">
        <v>72.412</v>
      </c>
      <c r="U52" s="2">
        <f>AVERAGE(I52:I57)</f>
        <v>82.5</v>
      </c>
      <c r="W52" s="2">
        <f>SQRT(AVERAGE(M52:M57))</f>
        <v>94.46270869</v>
      </c>
      <c r="Y52" s="5">
        <f t="array" ref="Y52">AVERAGE(IF(F52:F57-E52:E57&gt;180, F52:F57-E52:E57-360, IF(F52:F57-E52:E57&lt;-180, F52:F57-E52:E57+360, F52:F57-E52:E57)))</f>
        <v>82.5</v>
      </c>
      <c r="AA52" s="5">
        <f t="array" ref="AA52">STDEV(IF(F52:F57-E52:E57&gt;180, F52:F57-E52:E57-360, IF(F52:F57-E52:E57&lt;-180, F52:F57-E52:E57+360, F52:F57-E52:E57)))</f>
        <v>50.40182536</v>
      </c>
      <c r="AC52" s="2" t="str">
        <f>TEXT(Y52, "0.00") &amp; " ± " &amp; TEXT(1.96 * AA52 / SQRT(6), "0.00")</f>
        <v>82.50 ± 40.33</v>
      </c>
    </row>
    <row r="53" ht="15.75" customHeight="1">
      <c r="A53" s="2" t="s">
        <v>29</v>
      </c>
      <c r="B53" s="2" t="s">
        <v>21</v>
      </c>
      <c r="D53" s="2">
        <v>90.0</v>
      </c>
      <c r="E53" s="2">
        <v>22.5</v>
      </c>
      <c r="F53" s="2">
        <v>135.1</v>
      </c>
      <c r="G53" s="7"/>
      <c r="I53" s="2">
        <f t="shared" si="18"/>
        <v>112.6</v>
      </c>
      <c r="M53" s="2">
        <f t="shared" si="19"/>
        <v>12678.76</v>
      </c>
      <c r="O53" s="2">
        <v>136.418</v>
      </c>
      <c r="P53" s="2">
        <v>134.809</v>
      </c>
      <c r="Q53" s="2">
        <v>134.917</v>
      </c>
      <c r="R53" s="2">
        <v>134.406</v>
      </c>
      <c r="S53" s="2">
        <v>135.676</v>
      </c>
      <c r="W53" s="2">
        <f t="shared" ref="W53:W59" si="20">SQRT(U53)</f>
        <v>0</v>
      </c>
    </row>
    <row r="54" ht="15.75" customHeight="1">
      <c r="A54" s="2" t="s">
        <v>29</v>
      </c>
      <c r="B54" s="2" t="s">
        <v>21</v>
      </c>
      <c r="D54" s="2">
        <v>90.0</v>
      </c>
      <c r="E54" s="2">
        <v>45.0</v>
      </c>
      <c r="F54" s="2">
        <v>123.2</v>
      </c>
      <c r="G54" s="7"/>
      <c r="I54" s="2">
        <f t="shared" si="18"/>
        <v>78.2</v>
      </c>
      <c r="M54" s="2">
        <f t="shared" si="19"/>
        <v>6115.24</v>
      </c>
      <c r="O54" s="2">
        <v>123.599</v>
      </c>
      <c r="P54" s="2">
        <v>123.55</v>
      </c>
      <c r="Q54" s="2">
        <v>121.72</v>
      </c>
      <c r="R54" s="2">
        <v>123.43</v>
      </c>
      <c r="S54" s="2">
        <v>123.463</v>
      </c>
      <c r="W54" s="2">
        <f t="shared" si="20"/>
        <v>0</v>
      </c>
    </row>
    <row r="55" ht="15.75" customHeight="1">
      <c r="A55" s="2" t="s">
        <v>29</v>
      </c>
      <c r="B55" s="2" t="s">
        <v>21</v>
      </c>
      <c r="D55" s="2">
        <v>90.0</v>
      </c>
      <c r="E55" s="2">
        <v>90.0</v>
      </c>
      <c r="F55" s="2">
        <v>93.3</v>
      </c>
      <c r="G55" s="7"/>
      <c r="I55" s="2">
        <f t="shared" si="18"/>
        <v>3.3</v>
      </c>
      <c r="M55" s="2">
        <f t="shared" si="19"/>
        <v>10.89</v>
      </c>
      <c r="O55" s="2">
        <v>92.202</v>
      </c>
      <c r="P55" s="2">
        <v>92.238</v>
      </c>
      <c r="Q55" s="2">
        <v>94.521</v>
      </c>
      <c r="R55" s="2">
        <v>94.536</v>
      </c>
      <c r="S55" s="2">
        <v>93.583</v>
      </c>
      <c r="W55" s="2">
        <f t="shared" si="20"/>
        <v>0</v>
      </c>
    </row>
    <row r="56" ht="15.75" customHeight="1">
      <c r="A56" s="2" t="s">
        <v>29</v>
      </c>
      <c r="B56" s="2" t="s">
        <v>21</v>
      </c>
      <c r="D56" s="2">
        <v>90.0</v>
      </c>
      <c r="E56" s="2">
        <v>180.0</v>
      </c>
      <c r="F56" s="2">
        <v>335.4</v>
      </c>
      <c r="G56" s="7"/>
      <c r="I56" s="2">
        <f t="shared" si="18"/>
        <v>155.4</v>
      </c>
      <c r="M56" s="2">
        <f t="shared" si="19"/>
        <v>24149.16</v>
      </c>
      <c r="O56" s="2">
        <v>335.608</v>
      </c>
      <c r="P56" s="2">
        <v>335.549</v>
      </c>
      <c r="Q56" s="2">
        <v>334.836</v>
      </c>
      <c r="R56" s="2">
        <v>334.786</v>
      </c>
      <c r="S56" s="2">
        <v>336.573</v>
      </c>
      <c r="W56" s="2">
        <f t="shared" si="20"/>
        <v>0</v>
      </c>
    </row>
    <row r="57" ht="15.75" customHeight="1">
      <c r="A57" s="2" t="s">
        <v>29</v>
      </c>
      <c r="B57" s="2" t="s">
        <v>21</v>
      </c>
      <c r="D57" s="2">
        <v>90.0</v>
      </c>
      <c r="E57" s="2">
        <v>270.0</v>
      </c>
      <c r="F57" s="2">
        <v>342.9</v>
      </c>
      <c r="G57" s="7">
        <f>AVERAGE(I52:I57)</f>
        <v>82.5</v>
      </c>
      <c r="I57" s="2">
        <f t="shared" si="18"/>
        <v>72.9</v>
      </c>
      <c r="M57" s="2">
        <f t="shared" si="19"/>
        <v>5314.41</v>
      </c>
      <c r="O57" s="2">
        <v>341.507</v>
      </c>
      <c r="P57" s="2">
        <v>343.35</v>
      </c>
      <c r="Q57" s="2">
        <v>341.434</v>
      </c>
      <c r="R57" s="2">
        <v>344.288</v>
      </c>
      <c r="S57" s="2">
        <v>342.011</v>
      </c>
      <c r="W57" s="2">
        <f t="shared" si="20"/>
        <v>0</v>
      </c>
    </row>
    <row r="58" ht="15.75" customHeight="1">
      <c r="W58" s="2">
        <f t="shared" si="20"/>
        <v>0</v>
      </c>
    </row>
    <row r="59" ht="15.75" customHeight="1">
      <c r="A59" s="2" t="s">
        <v>1</v>
      </c>
      <c r="B59" s="2" t="s">
        <v>2</v>
      </c>
      <c r="C59" s="2" t="s">
        <v>3</v>
      </c>
      <c r="D59" s="2" t="s">
        <v>4</v>
      </c>
      <c r="E59" s="2" t="s">
        <v>5</v>
      </c>
      <c r="F59" s="2" t="s">
        <v>6</v>
      </c>
      <c r="G59" s="7"/>
      <c r="I59" s="2" t="s">
        <v>7</v>
      </c>
      <c r="W59" s="2">
        <f t="shared" si="20"/>
        <v>0</v>
      </c>
    </row>
    <row r="60" ht="15.75" customHeight="1">
      <c r="A60" s="2" t="s">
        <v>29</v>
      </c>
      <c r="B60" s="2" t="s">
        <v>26</v>
      </c>
      <c r="C60" s="2" t="s">
        <v>22</v>
      </c>
      <c r="D60" s="2">
        <v>90.0</v>
      </c>
      <c r="E60" s="2">
        <v>0.0</v>
      </c>
      <c r="F60" s="2">
        <v>325.589</v>
      </c>
      <c r="G60" s="7"/>
      <c r="I60" s="2">
        <f t="shared" ref="I60:I65" si="21">IF(ISNUMBER(E60), MIN(ABS(F60-E60), 360-ABS(F60-E60)), "")</f>
        <v>34.411</v>
      </c>
      <c r="M60" s="2">
        <f t="shared" ref="M60:M65" si="22">IF(ISNUMBER(I60), I60^2, "")</f>
        <v>1184.116921</v>
      </c>
      <c r="O60" s="2">
        <v>326.157</v>
      </c>
      <c r="P60" s="2">
        <v>326.707</v>
      </c>
      <c r="Q60" s="2">
        <v>324.415</v>
      </c>
      <c r="R60" s="2">
        <v>325.844</v>
      </c>
      <c r="S60" s="2">
        <v>326.151</v>
      </c>
      <c r="U60" s="2">
        <f>AVERAGE(I60:I65)</f>
        <v>78.16533333</v>
      </c>
      <c r="W60" s="2">
        <f>SQRT(AVERAGE(M60:M65))</f>
        <v>92.4301153</v>
      </c>
      <c r="Y60" s="5">
        <f t="array" ref="Y60">AVERAGE(IF(F60:F65-E60:E65&gt;180, F60:F65-E60:E65-360, IF(F60:F65-E60:E65&lt;-180, F60:F65-E60:E65+360, F60:F65-E60:E65)))</f>
        <v>62.83766667</v>
      </c>
      <c r="AA60" s="5">
        <f t="array" ref="AA60">STDEV(IF(F60:F65-E60:E65&gt;180, F60:F65-E60:E65-360, IF(F60:F65-E60:E65&lt;-180, F60:F65-E60:E65+360, F60:F65-E60:E65)))</f>
        <v>74.25432401</v>
      </c>
      <c r="AC60" s="2" t="str">
        <f>TEXT(Y60, "0.00") &amp; " ± " &amp; TEXT(1.96 * AA60 / SQRT(6), "0.00")</f>
        <v>62.84 ± 59.42</v>
      </c>
    </row>
    <row r="61" ht="15.75" customHeight="1">
      <c r="A61" s="2" t="s">
        <v>29</v>
      </c>
      <c r="B61" s="2" t="s">
        <v>26</v>
      </c>
      <c r="D61" s="2">
        <v>90.0</v>
      </c>
      <c r="E61" s="2">
        <v>22.5</v>
      </c>
      <c r="F61" s="2">
        <v>146.185</v>
      </c>
      <c r="G61" s="7"/>
      <c r="I61" s="2">
        <f t="shared" si="21"/>
        <v>123.685</v>
      </c>
      <c r="M61" s="2">
        <f t="shared" si="22"/>
        <v>15297.97923</v>
      </c>
      <c r="O61" s="2">
        <v>145.479</v>
      </c>
      <c r="P61" s="2">
        <v>145.751</v>
      </c>
      <c r="Q61" s="2">
        <v>147.091</v>
      </c>
      <c r="R61" s="2">
        <v>145.317</v>
      </c>
      <c r="S61" s="2">
        <v>147.684</v>
      </c>
      <c r="W61" s="2">
        <f t="shared" ref="W61:W67" si="23">SQRT(U61)</f>
        <v>0</v>
      </c>
    </row>
    <row r="62" ht="15.75" customHeight="1">
      <c r="A62" s="2" t="s">
        <v>29</v>
      </c>
      <c r="B62" s="2" t="s">
        <v>26</v>
      </c>
      <c r="D62" s="2">
        <v>90.0</v>
      </c>
      <c r="E62" s="2">
        <v>45.0</v>
      </c>
      <c r="F62" s="2">
        <v>117.343</v>
      </c>
      <c r="G62" s="7"/>
      <c r="I62" s="2">
        <f t="shared" si="21"/>
        <v>72.343</v>
      </c>
      <c r="M62" s="2">
        <f t="shared" si="22"/>
        <v>5233.509649</v>
      </c>
      <c r="O62" s="2">
        <v>116.916</v>
      </c>
      <c r="P62" s="2">
        <v>116.033</v>
      </c>
      <c r="Q62" s="2">
        <v>118.516</v>
      </c>
      <c r="R62" s="2">
        <v>118.29</v>
      </c>
      <c r="S62" s="2">
        <v>117.94</v>
      </c>
      <c r="W62" s="2">
        <f t="shared" si="23"/>
        <v>0</v>
      </c>
    </row>
    <row r="63" ht="15.75" customHeight="1">
      <c r="A63" s="2" t="s">
        <v>29</v>
      </c>
      <c r="B63" s="2" t="s">
        <v>26</v>
      </c>
      <c r="D63" s="2">
        <v>90.0</v>
      </c>
      <c r="E63" s="2">
        <v>90.0</v>
      </c>
      <c r="F63" s="2">
        <v>78.428</v>
      </c>
      <c r="G63" s="7"/>
      <c r="I63" s="2">
        <f t="shared" si="21"/>
        <v>11.572</v>
      </c>
      <c r="M63" s="2">
        <f t="shared" si="22"/>
        <v>133.911184</v>
      </c>
      <c r="O63" s="2">
        <v>78.925</v>
      </c>
      <c r="P63" s="2">
        <v>78.878</v>
      </c>
      <c r="Q63" s="2">
        <v>78.561</v>
      </c>
      <c r="R63" s="2">
        <v>77.069</v>
      </c>
      <c r="S63" s="2">
        <v>79.274</v>
      </c>
      <c r="W63" s="2">
        <f t="shared" si="23"/>
        <v>0</v>
      </c>
    </row>
    <row r="64" ht="15.75" customHeight="1">
      <c r="A64" s="2" t="s">
        <v>29</v>
      </c>
      <c r="B64" s="2" t="s">
        <v>26</v>
      </c>
      <c r="D64" s="2">
        <v>90.0</v>
      </c>
      <c r="E64" s="2">
        <v>180.0</v>
      </c>
      <c r="F64" s="2">
        <v>336.212</v>
      </c>
      <c r="G64" s="7"/>
      <c r="I64" s="2">
        <f t="shared" si="21"/>
        <v>156.212</v>
      </c>
      <c r="M64" s="2">
        <f t="shared" si="22"/>
        <v>24402.18894</v>
      </c>
      <c r="O64" s="2">
        <v>335.436</v>
      </c>
      <c r="P64" s="2">
        <v>335.923</v>
      </c>
      <c r="Q64" s="2">
        <v>335.772</v>
      </c>
      <c r="R64" s="2">
        <v>334.858</v>
      </c>
      <c r="S64" s="2">
        <v>337.56</v>
      </c>
      <c r="W64" s="2">
        <f t="shared" si="23"/>
        <v>0</v>
      </c>
    </row>
    <row r="65" ht="15.75" customHeight="1">
      <c r="A65" s="2" t="s">
        <v>29</v>
      </c>
      <c r="B65" s="2" t="s">
        <v>26</v>
      </c>
      <c r="D65" s="2">
        <v>90.0</v>
      </c>
      <c r="E65" s="2">
        <v>270.0</v>
      </c>
      <c r="F65" s="2">
        <v>340.769</v>
      </c>
      <c r="G65" s="7">
        <f>AVERAGE(I60:I65)</f>
        <v>78.16533333</v>
      </c>
      <c r="I65" s="2">
        <f t="shared" si="21"/>
        <v>70.769</v>
      </c>
      <c r="M65" s="2">
        <f t="shared" si="22"/>
        <v>5008.251361</v>
      </c>
      <c r="O65" s="2">
        <v>341.729</v>
      </c>
      <c r="P65" s="2">
        <v>341.697</v>
      </c>
      <c r="Q65" s="2">
        <v>342.264</v>
      </c>
      <c r="R65" s="2">
        <v>342.246</v>
      </c>
      <c r="S65" s="2">
        <v>342.029</v>
      </c>
      <c r="W65" s="2">
        <f t="shared" si="23"/>
        <v>0</v>
      </c>
    </row>
    <row r="66" ht="15.75" customHeight="1">
      <c r="M66" s="2" t="str">
        <f>IF(I66 ="","", I66^2)</f>
        <v/>
      </c>
      <c r="O66" s="2" t="s">
        <v>24</v>
      </c>
      <c r="P66" s="2" t="s">
        <v>24</v>
      </c>
      <c r="Q66" s="2" t="s">
        <v>24</v>
      </c>
      <c r="R66" s="2" t="s">
        <v>24</v>
      </c>
      <c r="S66" s="2" t="s">
        <v>24</v>
      </c>
      <c r="W66" s="2">
        <f t="shared" si="23"/>
        <v>0</v>
      </c>
    </row>
    <row r="67" ht="15.75" customHeight="1">
      <c r="A67" s="2" t="s">
        <v>1</v>
      </c>
      <c r="B67" s="2" t="s">
        <v>2</v>
      </c>
      <c r="C67" s="2" t="s">
        <v>3</v>
      </c>
      <c r="D67" s="2" t="s">
        <v>4</v>
      </c>
      <c r="E67" s="2" t="s">
        <v>5</v>
      </c>
      <c r="F67" s="2" t="s">
        <v>6</v>
      </c>
      <c r="G67" s="7"/>
      <c r="I67" s="2" t="s">
        <v>30</v>
      </c>
      <c r="W67" s="2">
        <f t="shared" si="23"/>
        <v>0</v>
      </c>
    </row>
    <row r="68" ht="15.75" customHeight="1">
      <c r="A68" s="2" t="s">
        <v>29</v>
      </c>
      <c r="B68" s="2" t="s">
        <v>27</v>
      </c>
      <c r="C68" s="2" t="s">
        <v>22</v>
      </c>
      <c r="D68" s="2">
        <v>90.0</v>
      </c>
      <c r="E68" s="2">
        <v>0.0</v>
      </c>
      <c r="F68" s="2">
        <v>331.06</v>
      </c>
      <c r="G68" s="7"/>
      <c r="I68" s="2">
        <f t="shared" ref="I68:I73" si="24">IF(ISNUMBER(E68), MIN(ABS(F68-E68), 360-ABS(F68-E68)), "")</f>
        <v>28.94</v>
      </c>
      <c r="M68" s="2">
        <f t="shared" ref="M68:M73" si="25">IF(ISNUMBER(I68), I68^2, "")</f>
        <v>837.5236</v>
      </c>
      <c r="O68" s="2">
        <v>330.424</v>
      </c>
      <c r="P68" s="2">
        <v>332.141</v>
      </c>
      <c r="Q68" s="2">
        <v>329.863</v>
      </c>
      <c r="R68" s="2">
        <v>332.376</v>
      </c>
      <c r="S68" s="2">
        <v>329.594</v>
      </c>
      <c r="U68" s="2">
        <f>AVERAGE(I68:I73)</f>
        <v>78.27666667</v>
      </c>
      <c r="W68" s="2">
        <f>SQRT(AVERAGE(M68:M73))</f>
        <v>93.86648781</v>
      </c>
      <c r="Y68" s="5">
        <f t="array" ref="Y68">AVERAGE(IF(F68:F73-E68:E73&gt;180, F68:F73-E68:E73-360, IF(F68:F73-E68:E73&lt;-180, F68:F73-E68:E73+360, F68:F73-E68:E73)))</f>
        <v>61.79333333</v>
      </c>
      <c r="AA68" s="5">
        <f t="array" ref="AA68">STDEV(IF(F68:F73-E68:E73&gt;180, F68:F73-E68:E73-360, IF(F68:F73-E68:E73&lt;-180, F68:F73-E68:E73+360, F68:F73-E68:E73)))</f>
        <v>77.40156191</v>
      </c>
      <c r="AC68" s="2" t="str">
        <f>TEXT(Y68, "0.00") &amp; " ± " &amp; TEXT(1.96 * AA68 / SQRT(6), "0.00")</f>
        <v>61.79 ± 61.93</v>
      </c>
    </row>
    <row r="69" ht="15.75" customHeight="1">
      <c r="A69" s="2" t="s">
        <v>29</v>
      </c>
      <c r="B69" s="2" t="s">
        <v>27</v>
      </c>
      <c r="D69" s="2">
        <v>90.0</v>
      </c>
      <c r="E69" s="2">
        <v>22.5</v>
      </c>
      <c r="F69" s="2">
        <v>132.4</v>
      </c>
      <c r="G69" s="7"/>
      <c r="I69" s="2">
        <f t="shared" si="24"/>
        <v>109.9</v>
      </c>
      <c r="M69" s="2">
        <f t="shared" si="25"/>
        <v>12078.01</v>
      </c>
      <c r="O69" s="2">
        <v>131.137</v>
      </c>
      <c r="P69" s="2">
        <v>133.212</v>
      </c>
      <c r="Q69" s="2">
        <v>131.046</v>
      </c>
      <c r="R69" s="2">
        <v>133.395</v>
      </c>
      <c r="S69" s="2">
        <v>132.911</v>
      </c>
      <c r="W69" s="2">
        <f t="shared" ref="W69:W79" si="26">SQRT(U69)</f>
        <v>0</v>
      </c>
    </row>
    <row r="70" ht="15.75" customHeight="1">
      <c r="A70" s="2" t="s">
        <v>29</v>
      </c>
      <c r="B70" s="2" t="s">
        <v>27</v>
      </c>
      <c r="D70" s="2">
        <v>90.0</v>
      </c>
      <c r="E70" s="2">
        <v>45.0</v>
      </c>
      <c r="F70" s="2">
        <v>110.85</v>
      </c>
      <c r="G70" s="7"/>
      <c r="I70" s="2">
        <f t="shared" si="24"/>
        <v>65.85</v>
      </c>
      <c r="M70" s="2">
        <f t="shared" si="25"/>
        <v>4336.2225</v>
      </c>
      <c r="O70" s="2">
        <v>111.223</v>
      </c>
      <c r="P70" s="2">
        <v>111.935</v>
      </c>
      <c r="Q70" s="2">
        <v>112.006</v>
      </c>
      <c r="R70" s="2">
        <v>112.281</v>
      </c>
      <c r="S70" s="2">
        <v>109.728</v>
      </c>
      <c r="W70" s="2">
        <f t="shared" si="26"/>
        <v>0</v>
      </c>
    </row>
    <row r="71" ht="15.75" customHeight="1">
      <c r="A71" s="2" t="s">
        <v>29</v>
      </c>
      <c r="B71" s="2" t="s">
        <v>27</v>
      </c>
      <c r="D71" s="2">
        <v>90.0</v>
      </c>
      <c r="E71" s="2">
        <v>90.0</v>
      </c>
      <c r="F71" s="2">
        <v>69.49</v>
      </c>
      <c r="G71" s="7"/>
      <c r="I71" s="2">
        <f t="shared" si="24"/>
        <v>20.51</v>
      </c>
      <c r="M71" s="2">
        <f t="shared" si="25"/>
        <v>420.6601</v>
      </c>
      <c r="O71" s="2">
        <v>68.68</v>
      </c>
      <c r="P71" s="2">
        <v>68.031</v>
      </c>
      <c r="Q71" s="2">
        <v>70.024</v>
      </c>
      <c r="R71" s="2">
        <v>69.818</v>
      </c>
      <c r="S71" s="2">
        <v>69.164</v>
      </c>
      <c r="W71" s="2">
        <f t="shared" si="26"/>
        <v>0</v>
      </c>
    </row>
    <row r="72" ht="15.75" customHeight="1">
      <c r="A72" s="2" t="s">
        <v>29</v>
      </c>
      <c r="B72" s="2" t="s">
        <v>27</v>
      </c>
      <c r="D72" s="2">
        <v>90.0</v>
      </c>
      <c r="E72" s="2">
        <v>180.0</v>
      </c>
      <c r="F72" s="2">
        <v>353.77</v>
      </c>
      <c r="G72" s="7"/>
      <c r="I72" s="2">
        <f t="shared" si="24"/>
        <v>173.77</v>
      </c>
      <c r="M72" s="2">
        <f t="shared" si="25"/>
        <v>30196.0129</v>
      </c>
      <c r="O72" s="2">
        <v>354.093</v>
      </c>
      <c r="P72" s="2">
        <v>354.595</v>
      </c>
      <c r="Q72" s="2">
        <v>353.037</v>
      </c>
      <c r="R72" s="2">
        <v>354.232</v>
      </c>
      <c r="S72" s="2">
        <v>354.638</v>
      </c>
      <c r="W72" s="2">
        <f t="shared" si="26"/>
        <v>0</v>
      </c>
    </row>
    <row r="73" ht="15.75" customHeight="1">
      <c r="A73" s="2" t="s">
        <v>29</v>
      </c>
      <c r="B73" s="2" t="s">
        <v>27</v>
      </c>
      <c r="D73" s="2">
        <v>90.0</v>
      </c>
      <c r="E73" s="2">
        <v>270.0</v>
      </c>
      <c r="F73" s="2">
        <v>340.69</v>
      </c>
      <c r="G73" s="7">
        <f>AVERAGE(I68:I73)</f>
        <v>78.27666667</v>
      </c>
      <c r="I73" s="2">
        <f t="shared" si="24"/>
        <v>70.69</v>
      </c>
      <c r="M73" s="2">
        <f t="shared" si="25"/>
        <v>4997.0761</v>
      </c>
      <c r="O73" s="2">
        <v>340.805</v>
      </c>
      <c r="P73" s="2">
        <v>341.489</v>
      </c>
      <c r="Q73" s="2">
        <v>339.789</v>
      </c>
      <c r="R73" s="2">
        <v>339.86</v>
      </c>
      <c r="S73" s="2">
        <v>339.875</v>
      </c>
      <c r="W73" s="2">
        <f t="shared" si="26"/>
        <v>0</v>
      </c>
    </row>
    <row r="74" ht="15.75" customHeight="1">
      <c r="M74" s="2" t="str">
        <f t="shared" ref="M74:M78" si="27">IF(I74 ="","", I74^2)</f>
        <v/>
      </c>
      <c r="O74" s="2" t="s">
        <v>24</v>
      </c>
      <c r="P74" s="2" t="s">
        <v>24</v>
      </c>
      <c r="Q74" s="2" t="s">
        <v>24</v>
      </c>
      <c r="R74" s="2" t="s">
        <v>24</v>
      </c>
      <c r="S74" s="2" t="s">
        <v>24</v>
      </c>
      <c r="W74" s="2">
        <f t="shared" si="26"/>
        <v>0</v>
      </c>
    </row>
    <row r="75" ht="15.75" customHeight="1">
      <c r="M75" s="2" t="str">
        <f t="shared" si="27"/>
        <v/>
      </c>
      <c r="O75" s="2" t="s">
        <v>24</v>
      </c>
      <c r="P75" s="2" t="s">
        <v>24</v>
      </c>
      <c r="Q75" s="2" t="s">
        <v>24</v>
      </c>
      <c r="R75" s="2" t="s">
        <v>24</v>
      </c>
      <c r="S75" s="2" t="s">
        <v>24</v>
      </c>
      <c r="W75" s="2">
        <f t="shared" si="26"/>
        <v>0</v>
      </c>
    </row>
    <row r="76" ht="15.75" customHeight="1">
      <c r="M76" s="2" t="str">
        <f t="shared" si="27"/>
        <v/>
      </c>
      <c r="O76" s="2" t="s">
        <v>24</v>
      </c>
      <c r="P76" s="2" t="s">
        <v>24</v>
      </c>
      <c r="Q76" s="2" t="s">
        <v>24</v>
      </c>
      <c r="R76" s="2" t="s">
        <v>24</v>
      </c>
      <c r="S76" s="2" t="s">
        <v>24</v>
      </c>
      <c r="W76" s="2">
        <f t="shared" si="26"/>
        <v>0</v>
      </c>
    </row>
    <row r="77" ht="15.75" customHeight="1">
      <c r="M77" s="2" t="str">
        <f t="shared" si="27"/>
        <v/>
      </c>
      <c r="O77" s="2" t="s">
        <v>24</v>
      </c>
      <c r="P77" s="2" t="s">
        <v>24</v>
      </c>
      <c r="Q77" s="2" t="s">
        <v>24</v>
      </c>
      <c r="R77" s="2" t="s">
        <v>24</v>
      </c>
      <c r="S77" s="2" t="s">
        <v>24</v>
      </c>
      <c r="W77" s="2">
        <f t="shared" si="26"/>
        <v>0</v>
      </c>
    </row>
    <row r="78" ht="15.75" customHeight="1">
      <c r="M78" s="2" t="str">
        <f t="shared" si="27"/>
        <v/>
      </c>
      <c r="O78" s="2" t="s">
        <v>24</v>
      </c>
      <c r="P78" s="2" t="s">
        <v>24</v>
      </c>
      <c r="Q78" s="2" t="s">
        <v>24</v>
      </c>
      <c r="R78" s="2" t="s">
        <v>24</v>
      </c>
      <c r="S78" s="2" t="s">
        <v>24</v>
      </c>
      <c r="W78" s="2">
        <f t="shared" si="26"/>
        <v>0</v>
      </c>
    </row>
    <row r="79" ht="15.75" customHeight="1">
      <c r="A79" s="2" t="s">
        <v>1</v>
      </c>
      <c r="B79" s="2" t="s">
        <v>2</v>
      </c>
      <c r="C79" s="2" t="s">
        <v>3</v>
      </c>
      <c r="D79" s="2" t="s">
        <v>4</v>
      </c>
      <c r="E79" s="2" t="s">
        <v>5</v>
      </c>
      <c r="F79" s="2" t="s">
        <v>6</v>
      </c>
      <c r="G79" s="8"/>
      <c r="I79" s="2" t="s">
        <v>30</v>
      </c>
      <c r="W79" s="2">
        <f t="shared" si="26"/>
        <v>0</v>
      </c>
    </row>
    <row r="80" ht="15.75" customHeight="1">
      <c r="A80" s="2" t="s">
        <v>29</v>
      </c>
      <c r="B80" s="2" t="s">
        <v>21</v>
      </c>
      <c r="C80" s="2" t="s">
        <v>22</v>
      </c>
      <c r="D80" s="2">
        <v>180.0</v>
      </c>
      <c r="E80" s="2">
        <v>0.0</v>
      </c>
      <c r="F80" s="2">
        <v>323.0</v>
      </c>
      <c r="G80" s="8"/>
      <c r="I80" s="2">
        <f t="shared" ref="I80:I85" si="28">IF(ISNUMBER(E80), MIN(ABS(F80-E80), 360-ABS(F80-E80)), "")</f>
        <v>37</v>
      </c>
      <c r="M80" s="2">
        <f t="shared" ref="M80:M85" si="29">IF(ISNUMBER(I80), I80^2, "")</f>
        <v>1369</v>
      </c>
      <c r="O80" s="2">
        <v>324.414</v>
      </c>
      <c r="P80" s="2">
        <v>322.632</v>
      </c>
      <c r="Q80" s="2">
        <v>322.364</v>
      </c>
      <c r="R80" s="2">
        <v>324.197</v>
      </c>
      <c r="S80" s="2">
        <v>322.198</v>
      </c>
      <c r="U80" s="2">
        <f>AVERAGE(I80:I85)</f>
        <v>54.11666667</v>
      </c>
      <c r="W80" s="2">
        <f>SQRT(AVERAGE(M80:M85))</f>
        <v>59.53364595</v>
      </c>
      <c r="Y80" s="5">
        <f t="array" ref="Y80">AVERAGE(IF(F80:F85-E80:E85&gt;180, F80:F85-E80:E85-360, IF(F80:F85-E80:E85&lt;-180, F80:F85-E80:E85+360, F80:F85-E80:E85)))</f>
        <v>15.38333333</v>
      </c>
      <c r="AA80" s="5">
        <f t="array" ref="AA80">STDEV(IF(F80:F85-E80:E85&gt;180, F80:F85-E80:E85-360, IF(F80:F85-E80:E85&lt;-180, F80:F85-E80:E85+360, F80:F85-E80:E85)))</f>
        <v>63.00102909</v>
      </c>
      <c r="AC80" s="2" t="str">
        <f>TEXT(Y80, "0.00") &amp; " ± " &amp; TEXT(1.96 * AA80 / SQRT(6), "0.00")</f>
        <v>15.38 ± 50.41</v>
      </c>
    </row>
    <row r="81" ht="15.75" customHeight="1">
      <c r="A81" s="2" t="s">
        <v>29</v>
      </c>
      <c r="B81" s="2" t="s">
        <v>21</v>
      </c>
      <c r="D81" s="2">
        <v>180.0</v>
      </c>
      <c r="E81" s="2">
        <v>22.5</v>
      </c>
      <c r="F81" s="2">
        <v>62.9</v>
      </c>
      <c r="G81" s="8"/>
      <c r="I81" s="2">
        <f t="shared" si="28"/>
        <v>40.4</v>
      </c>
      <c r="M81" s="2">
        <f t="shared" si="29"/>
        <v>1632.16</v>
      </c>
      <c r="O81" s="2">
        <v>62.264</v>
      </c>
      <c r="P81" s="2">
        <v>61.664</v>
      </c>
      <c r="Q81" s="2">
        <v>62.789</v>
      </c>
      <c r="R81" s="2">
        <v>62.014</v>
      </c>
      <c r="S81" s="2">
        <v>63.193</v>
      </c>
      <c r="W81" s="2">
        <f t="shared" ref="W81:W86" si="30">SQRT(U81)</f>
        <v>0</v>
      </c>
    </row>
    <row r="82" ht="15.75" customHeight="1">
      <c r="A82" s="2" t="s">
        <v>29</v>
      </c>
      <c r="B82" s="2" t="s">
        <v>21</v>
      </c>
      <c r="D82" s="2">
        <v>180.0</v>
      </c>
      <c r="E82" s="2">
        <v>45.0</v>
      </c>
      <c r="F82" s="2">
        <v>93.4</v>
      </c>
      <c r="G82" s="8"/>
      <c r="I82" s="2">
        <f t="shared" si="28"/>
        <v>48.4</v>
      </c>
      <c r="M82" s="2">
        <f t="shared" si="29"/>
        <v>2342.56</v>
      </c>
      <c r="O82" s="2">
        <v>94.471</v>
      </c>
      <c r="P82" s="2">
        <v>94.267</v>
      </c>
      <c r="Q82" s="2">
        <v>93.835</v>
      </c>
      <c r="R82" s="2">
        <v>94.028</v>
      </c>
      <c r="S82" s="2">
        <v>94.707</v>
      </c>
      <c r="W82" s="2">
        <f t="shared" si="30"/>
        <v>0</v>
      </c>
    </row>
    <row r="83" ht="15.75" customHeight="1">
      <c r="A83" s="2" t="s">
        <v>29</v>
      </c>
      <c r="B83" s="2" t="s">
        <v>21</v>
      </c>
      <c r="D83" s="2">
        <v>180.0</v>
      </c>
      <c r="E83" s="2">
        <v>90.0</v>
      </c>
      <c r="F83" s="2">
        <v>10.8</v>
      </c>
      <c r="G83" s="8"/>
      <c r="I83" s="2">
        <f t="shared" si="28"/>
        <v>79.2</v>
      </c>
      <c r="M83" s="2">
        <f t="shared" si="29"/>
        <v>6272.64</v>
      </c>
      <c r="O83" s="2">
        <v>11.131</v>
      </c>
      <c r="P83" s="2">
        <v>10.572</v>
      </c>
      <c r="Q83" s="2">
        <v>10.042</v>
      </c>
      <c r="R83" s="2">
        <v>10.913</v>
      </c>
      <c r="S83" s="2">
        <v>9.676</v>
      </c>
      <c r="W83" s="2">
        <f t="shared" si="30"/>
        <v>0</v>
      </c>
    </row>
    <row r="84" ht="15.75" customHeight="1">
      <c r="A84" s="2" t="s">
        <v>29</v>
      </c>
      <c r="B84" s="2" t="s">
        <v>21</v>
      </c>
      <c r="D84" s="2">
        <v>180.0</v>
      </c>
      <c r="E84" s="2">
        <v>180.0</v>
      </c>
      <c r="F84" s="2">
        <v>204.6</v>
      </c>
      <c r="G84" s="8"/>
      <c r="I84" s="2">
        <f t="shared" si="28"/>
        <v>24.6</v>
      </c>
      <c r="M84" s="2">
        <f t="shared" si="29"/>
        <v>605.16</v>
      </c>
      <c r="O84" s="2">
        <v>205.164</v>
      </c>
      <c r="P84" s="2">
        <v>204.974</v>
      </c>
      <c r="Q84" s="2">
        <v>205.364</v>
      </c>
      <c r="R84" s="2">
        <v>203.153</v>
      </c>
      <c r="S84" s="2">
        <v>205.825</v>
      </c>
      <c r="W84" s="2">
        <f t="shared" si="30"/>
        <v>0</v>
      </c>
    </row>
    <row r="85" ht="15.75" customHeight="1">
      <c r="A85" s="2" t="s">
        <v>29</v>
      </c>
      <c r="B85" s="2" t="s">
        <v>21</v>
      </c>
      <c r="D85" s="2">
        <v>180.0</v>
      </c>
      <c r="E85" s="2">
        <v>270.0</v>
      </c>
      <c r="F85" s="2">
        <v>5.1</v>
      </c>
      <c r="G85" s="8">
        <f>AVERAGE(I80:I85)</f>
        <v>54.11666667</v>
      </c>
      <c r="I85" s="2">
        <f t="shared" si="28"/>
        <v>95.1</v>
      </c>
      <c r="M85" s="2">
        <f t="shared" si="29"/>
        <v>9044.01</v>
      </c>
      <c r="O85" s="2">
        <v>6.58</v>
      </c>
      <c r="P85" s="2">
        <v>6.486</v>
      </c>
      <c r="Q85" s="2">
        <v>4.942</v>
      </c>
      <c r="R85" s="2">
        <v>4.114</v>
      </c>
      <c r="S85" s="2">
        <v>5.657</v>
      </c>
      <c r="W85" s="2">
        <f t="shared" si="30"/>
        <v>0</v>
      </c>
    </row>
    <row r="86" ht="15.75" customHeight="1">
      <c r="M86" s="2" t="str">
        <f>IF(I86 ="","", I86^2)</f>
        <v/>
      </c>
      <c r="O86" s="2" t="s">
        <v>24</v>
      </c>
      <c r="P86" s="2" t="s">
        <v>24</v>
      </c>
      <c r="Q86" s="2" t="s">
        <v>24</v>
      </c>
      <c r="R86" s="2" t="s">
        <v>24</v>
      </c>
      <c r="S86" s="2" t="s">
        <v>24</v>
      </c>
      <c r="W86" s="2">
        <f t="shared" si="30"/>
        <v>0</v>
      </c>
    </row>
    <row r="87" ht="15.75" customHeight="1">
      <c r="A87" s="2" t="s">
        <v>1</v>
      </c>
      <c r="B87" s="2" t="s">
        <v>2</v>
      </c>
      <c r="C87" s="2" t="s">
        <v>3</v>
      </c>
      <c r="D87" s="2" t="s">
        <v>4</v>
      </c>
      <c r="E87" s="2" t="s">
        <v>5</v>
      </c>
      <c r="F87" s="2" t="s">
        <v>6</v>
      </c>
      <c r="G87" s="8"/>
      <c r="I87" s="2" t="s">
        <v>30</v>
      </c>
      <c r="U87" s="2">
        <f>AVERAGE(I88:I93)</f>
        <v>59.86216667</v>
      </c>
      <c r="W87" s="2">
        <f>SQRT(AVERAGE(M88:M93))</f>
        <v>71.78824229</v>
      </c>
      <c r="Y87" s="5">
        <v>49.07</v>
      </c>
      <c r="AA87" s="5">
        <v>56.12</v>
      </c>
    </row>
    <row r="88" ht="15.75" customHeight="1">
      <c r="A88" s="2" t="s">
        <v>29</v>
      </c>
      <c r="B88" s="2" t="s">
        <v>26</v>
      </c>
      <c r="C88" s="2" t="s">
        <v>22</v>
      </c>
      <c r="D88" s="2">
        <v>180.0</v>
      </c>
      <c r="E88" s="2">
        <v>0.0</v>
      </c>
      <c r="F88" s="2">
        <v>327.612</v>
      </c>
      <c r="G88" s="8"/>
      <c r="I88" s="2">
        <f t="shared" ref="I88:I93" si="31">IF(ISNUMBER(E88), MIN(ABS(F88-E88), 360-ABS(F88-E88)), "")</f>
        <v>32.388</v>
      </c>
      <c r="M88" s="2">
        <f t="shared" ref="M88:M93" si="32">IF(ISNUMBER(I88), I88^2, "")</f>
        <v>1048.982544</v>
      </c>
      <c r="O88" s="2">
        <v>326.369</v>
      </c>
      <c r="P88" s="2">
        <v>326.937</v>
      </c>
      <c r="Q88" s="2">
        <v>327.639</v>
      </c>
      <c r="R88" s="2">
        <v>326.897</v>
      </c>
      <c r="S88" s="2">
        <v>328.936</v>
      </c>
      <c r="U88" s="2">
        <f>AVERAGE(I88:I93)</f>
        <v>59.86216667</v>
      </c>
      <c r="W88" s="2">
        <f>SQRT(AVERAGE(M88:M93))</f>
        <v>71.78824229</v>
      </c>
      <c r="Y88" s="2">
        <f t="array" ref="Y88">AVERAGE(IF(F88:F93-E88:E93&gt;180, F88:F93-E88:E93-360, IF(F88:F93-E88:E93&lt;-180, F88:F93-E88:E93+360, F88:F93-E88:E93)))</f>
        <v>49.06616667</v>
      </c>
      <c r="AA88" s="2">
        <f t="array" ref="AA88">STDEV(IF(F88:F93-E88:E93&gt;180, F88:F93-E88:E93-360, IF(F88:F93-E88:E93&lt;-180, F88:F93-E88:E93+360, F88:F93-E88:E93)))</f>
        <v>57.40449132</v>
      </c>
      <c r="AC88" s="2" t="str">
        <f>TEXT(Y88, "0.00") &amp; " ± " &amp; TEXT(1.96 * AA88 / SQRT(6), "0.00")</f>
        <v>49.07 ± 45.93</v>
      </c>
    </row>
    <row r="89" ht="15.75" customHeight="1">
      <c r="A89" s="2" t="s">
        <v>29</v>
      </c>
      <c r="B89" s="2" t="s">
        <v>26</v>
      </c>
      <c r="D89" s="2">
        <v>180.0</v>
      </c>
      <c r="E89" s="2">
        <v>22.5</v>
      </c>
      <c r="F89" s="2">
        <v>63.228</v>
      </c>
      <c r="G89" s="8"/>
      <c r="I89" s="2">
        <f t="shared" si="31"/>
        <v>40.728</v>
      </c>
      <c r="M89" s="2">
        <f t="shared" si="32"/>
        <v>1658.769984</v>
      </c>
      <c r="O89" s="2">
        <v>64.56</v>
      </c>
      <c r="P89" s="2">
        <v>63.416</v>
      </c>
      <c r="Q89" s="2">
        <v>61.784</v>
      </c>
      <c r="R89" s="2">
        <v>63.407</v>
      </c>
      <c r="S89" s="2">
        <v>61.967</v>
      </c>
      <c r="W89" s="2">
        <f t="shared" ref="W89:W95" si="33">SQRT(U89)</f>
        <v>0</v>
      </c>
    </row>
    <row r="90" ht="15.75" customHeight="1">
      <c r="A90" s="2" t="s">
        <v>29</v>
      </c>
      <c r="B90" s="2" t="s">
        <v>26</v>
      </c>
      <c r="D90" s="2">
        <v>180.0</v>
      </c>
      <c r="E90" s="2">
        <v>45.0</v>
      </c>
      <c r="F90" s="2">
        <v>96.233</v>
      </c>
      <c r="G90" s="8"/>
      <c r="I90" s="2">
        <f t="shared" si="31"/>
        <v>51.233</v>
      </c>
      <c r="M90" s="2">
        <f t="shared" si="32"/>
        <v>2624.820289</v>
      </c>
      <c r="O90" s="2">
        <v>96.335</v>
      </c>
      <c r="P90" s="2">
        <v>96.454</v>
      </c>
      <c r="Q90" s="2">
        <v>96.085</v>
      </c>
      <c r="R90" s="2">
        <v>95.633</v>
      </c>
      <c r="S90" s="2">
        <v>97.439</v>
      </c>
      <c r="W90" s="2">
        <f t="shared" si="33"/>
        <v>0</v>
      </c>
    </row>
    <row r="91" ht="15.75" customHeight="1">
      <c r="A91" s="2" t="s">
        <v>29</v>
      </c>
      <c r="B91" s="2" t="s">
        <v>26</v>
      </c>
      <c r="D91" s="2">
        <v>180.0</v>
      </c>
      <c r="E91" s="2">
        <v>90.0</v>
      </c>
      <c r="F91" s="2">
        <v>224.141</v>
      </c>
      <c r="G91" s="8"/>
      <c r="I91" s="2">
        <f t="shared" si="31"/>
        <v>134.141</v>
      </c>
      <c r="M91" s="2">
        <f t="shared" si="32"/>
        <v>17993.80788</v>
      </c>
      <c r="O91" s="2">
        <v>223.687</v>
      </c>
      <c r="P91" s="2">
        <v>223.886</v>
      </c>
      <c r="Q91" s="2">
        <v>225.362</v>
      </c>
      <c r="R91" s="2">
        <v>225.52</v>
      </c>
      <c r="S91" s="2">
        <v>225.269</v>
      </c>
      <c r="W91" s="2">
        <f t="shared" si="33"/>
        <v>0</v>
      </c>
    </row>
    <row r="92" ht="15.75" customHeight="1">
      <c r="A92" s="2" t="s">
        <v>29</v>
      </c>
      <c r="B92" s="2" t="s">
        <v>26</v>
      </c>
      <c r="D92" s="2">
        <v>180.0</v>
      </c>
      <c r="E92" s="2">
        <v>180.0</v>
      </c>
      <c r="F92" s="2">
        <v>194.8</v>
      </c>
      <c r="G92" s="8"/>
      <c r="I92" s="2">
        <f t="shared" si="31"/>
        <v>14.8</v>
      </c>
      <c r="M92" s="2">
        <f t="shared" si="32"/>
        <v>219.04</v>
      </c>
      <c r="O92" s="2">
        <v>194.259</v>
      </c>
      <c r="P92" s="2">
        <v>194.609</v>
      </c>
      <c r="Q92" s="2">
        <v>193.431</v>
      </c>
      <c r="R92" s="2">
        <v>195.68</v>
      </c>
      <c r="S92" s="2">
        <v>195.367</v>
      </c>
      <c r="W92" s="2">
        <f t="shared" si="33"/>
        <v>0</v>
      </c>
    </row>
    <row r="93" ht="15.75" customHeight="1">
      <c r="A93" s="2" t="s">
        <v>29</v>
      </c>
      <c r="B93" s="2" t="s">
        <v>26</v>
      </c>
      <c r="D93" s="2">
        <v>180.0</v>
      </c>
      <c r="E93" s="2">
        <v>270.0</v>
      </c>
      <c r="F93" s="2">
        <v>355.883</v>
      </c>
      <c r="G93" s="8">
        <f>AVERAGE(I88:I93)</f>
        <v>59.86216667</v>
      </c>
      <c r="I93" s="2">
        <f t="shared" si="31"/>
        <v>85.883</v>
      </c>
      <c r="M93" s="2">
        <f t="shared" si="32"/>
        <v>7375.889689</v>
      </c>
      <c r="O93" s="2">
        <v>356.174</v>
      </c>
      <c r="P93" s="2">
        <v>357.081</v>
      </c>
      <c r="Q93" s="2">
        <v>355.919</v>
      </c>
      <c r="R93" s="2">
        <v>355.289</v>
      </c>
      <c r="S93" s="2">
        <v>355.382</v>
      </c>
      <c r="W93" s="2">
        <f t="shared" si="33"/>
        <v>0</v>
      </c>
    </row>
    <row r="94" ht="15.75" customHeight="1">
      <c r="W94" s="2">
        <f t="shared" si="33"/>
        <v>0</v>
      </c>
    </row>
    <row r="95" ht="15.75" customHeight="1">
      <c r="A95" s="2" t="s">
        <v>1</v>
      </c>
      <c r="B95" s="2" t="s">
        <v>2</v>
      </c>
      <c r="C95" s="2" t="s">
        <v>3</v>
      </c>
      <c r="D95" s="2" t="s">
        <v>4</v>
      </c>
      <c r="E95" s="2" t="s">
        <v>5</v>
      </c>
      <c r="F95" s="2" t="s">
        <v>6</v>
      </c>
      <c r="G95" s="8"/>
      <c r="I95" s="2" t="s">
        <v>30</v>
      </c>
      <c r="W95" s="2">
        <f t="shared" si="33"/>
        <v>0</v>
      </c>
    </row>
    <row r="96" ht="15.75" customHeight="1">
      <c r="A96" s="2" t="s">
        <v>29</v>
      </c>
      <c r="B96" s="2" t="s">
        <v>27</v>
      </c>
      <c r="C96" s="2" t="s">
        <v>22</v>
      </c>
      <c r="D96" s="2">
        <v>180.0</v>
      </c>
      <c r="E96" s="2">
        <v>0.0</v>
      </c>
      <c r="F96" s="2">
        <v>301.76</v>
      </c>
      <c r="G96" s="8"/>
      <c r="I96" s="2">
        <f t="shared" ref="I96:I101" si="34">IF(ISNUMBER(E96), MIN(ABS(F96-E96), 360-ABS(F96-E96)), "")</f>
        <v>58.24</v>
      </c>
      <c r="M96" s="2">
        <f t="shared" ref="M96:M101" si="35">IF(ISNUMBER(I96), I96^2, "")</f>
        <v>3391.8976</v>
      </c>
      <c r="O96" s="2">
        <v>302.544</v>
      </c>
      <c r="P96" s="2">
        <v>300.666</v>
      </c>
      <c r="Q96" s="2">
        <v>302.072</v>
      </c>
      <c r="R96" s="2">
        <v>300.913</v>
      </c>
      <c r="S96" s="2">
        <v>302.517</v>
      </c>
      <c r="U96" s="2">
        <f>AVERAGE(I96:I101)</f>
        <v>64.74166667</v>
      </c>
      <c r="W96" s="2">
        <f>SQRT(AVERAGE(M96:M101))</f>
        <v>69.68183419</v>
      </c>
      <c r="Y96" s="5">
        <f t="array" ref="Y96">AVERAGE(IF(F96:F101-E96:E101&gt;180, F96:F101-E96:E101-360, IF(F96:F101-E96:E101&lt;-180, F96:F101-E96:E101+360, F96:F101-E96:E101)))</f>
        <v>45.32833333</v>
      </c>
      <c r="AA96" s="5">
        <f t="array" ref="AA96">STDEV(IF(F96:F101-E96:E101&gt;180, F96:F101-E96:E101-360, IF(F96:F101-E96:E101&lt;-180, F96:F101-E96:E101+360, F96:F101-E96:E101)))</f>
        <v>57.97482433</v>
      </c>
      <c r="AC96" s="2" t="str">
        <f>TEXT(Y96, "0.00") &amp; " ± " &amp; TEXT(1.96 * AA96 / SQRT(6), "0.00")</f>
        <v>45.33 ± 46.39</v>
      </c>
    </row>
    <row r="97" ht="15.75" customHeight="1">
      <c r="A97" s="2" t="s">
        <v>29</v>
      </c>
      <c r="B97" s="2" t="s">
        <v>27</v>
      </c>
      <c r="D97" s="2">
        <v>180.0</v>
      </c>
      <c r="E97" s="2">
        <v>22.5</v>
      </c>
      <c r="F97" s="2">
        <v>64.88</v>
      </c>
      <c r="G97" s="8"/>
      <c r="I97" s="2">
        <f t="shared" si="34"/>
        <v>42.38</v>
      </c>
      <c r="M97" s="2">
        <f t="shared" si="35"/>
        <v>1796.0644</v>
      </c>
      <c r="O97" s="2">
        <v>66.076</v>
      </c>
      <c r="P97" s="2">
        <v>64.076</v>
      </c>
      <c r="Q97" s="2">
        <v>64.344</v>
      </c>
      <c r="R97" s="2">
        <v>64.357</v>
      </c>
      <c r="S97" s="2">
        <v>64.629</v>
      </c>
      <c r="W97" s="2">
        <f t="shared" ref="W97:W105" si="36">SQRT(U97)</f>
        <v>0</v>
      </c>
    </row>
    <row r="98" ht="15.75" customHeight="1">
      <c r="A98" s="2" t="s">
        <v>29</v>
      </c>
      <c r="B98" s="2" t="s">
        <v>27</v>
      </c>
      <c r="D98" s="2">
        <v>180.0</v>
      </c>
      <c r="E98" s="2">
        <v>45.0</v>
      </c>
      <c r="F98" s="2">
        <v>95.7</v>
      </c>
      <c r="G98" s="8"/>
      <c r="I98" s="2">
        <f t="shared" si="34"/>
        <v>50.7</v>
      </c>
      <c r="M98" s="2">
        <f t="shared" si="35"/>
        <v>2570.49</v>
      </c>
      <c r="O98" s="2">
        <v>94.638</v>
      </c>
      <c r="P98" s="2">
        <v>96.824</v>
      </c>
      <c r="Q98" s="2">
        <v>96.23</v>
      </c>
      <c r="R98" s="2">
        <v>96.71</v>
      </c>
      <c r="S98" s="2">
        <v>94.781</v>
      </c>
      <c r="W98" s="2">
        <f t="shared" si="36"/>
        <v>0</v>
      </c>
    </row>
    <row r="99" ht="15.75" customHeight="1">
      <c r="A99" s="2" t="s">
        <v>29</v>
      </c>
      <c r="B99" s="2" t="s">
        <v>27</v>
      </c>
      <c r="D99" s="2">
        <v>180.0</v>
      </c>
      <c r="E99" s="2">
        <v>90.0</v>
      </c>
      <c r="F99" s="2">
        <v>204.89</v>
      </c>
      <c r="G99" s="8"/>
      <c r="I99" s="2">
        <f t="shared" si="34"/>
        <v>114.89</v>
      </c>
      <c r="M99" s="2">
        <f t="shared" si="35"/>
        <v>13199.7121</v>
      </c>
      <c r="O99" s="2">
        <v>204.398</v>
      </c>
      <c r="P99" s="2">
        <v>205.759</v>
      </c>
      <c r="Q99" s="2">
        <v>204.117</v>
      </c>
      <c r="R99" s="2">
        <v>206.337</v>
      </c>
      <c r="S99" s="2">
        <v>206.282</v>
      </c>
      <c r="W99" s="2">
        <f t="shared" si="36"/>
        <v>0</v>
      </c>
    </row>
    <row r="100" ht="15.75" customHeight="1">
      <c r="A100" s="2" t="s">
        <v>29</v>
      </c>
      <c r="B100" s="2" t="s">
        <v>27</v>
      </c>
      <c r="D100" s="2">
        <v>180.0</v>
      </c>
      <c r="E100" s="2">
        <v>180.0</v>
      </c>
      <c r="F100" s="2">
        <v>222.36</v>
      </c>
      <c r="G100" s="8"/>
      <c r="I100" s="2">
        <f t="shared" si="34"/>
        <v>42.36</v>
      </c>
      <c r="M100" s="2">
        <f t="shared" si="35"/>
        <v>1794.3696</v>
      </c>
      <c r="O100" s="2">
        <v>220.965</v>
      </c>
      <c r="P100" s="2">
        <v>222.35</v>
      </c>
      <c r="Q100" s="2">
        <v>221.342</v>
      </c>
      <c r="R100" s="2">
        <v>223.335</v>
      </c>
      <c r="S100" s="2">
        <v>221.834</v>
      </c>
      <c r="W100" s="2">
        <f t="shared" si="36"/>
        <v>0</v>
      </c>
    </row>
    <row r="101" ht="15.75" customHeight="1">
      <c r="A101" s="2" t="s">
        <v>29</v>
      </c>
      <c r="B101" s="2" t="s">
        <v>27</v>
      </c>
      <c r="D101" s="2">
        <v>180.0</v>
      </c>
      <c r="E101" s="2">
        <v>270.0</v>
      </c>
      <c r="F101" s="2">
        <v>349.88</v>
      </c>
      <c r="G101" s="8">
        <f>AVERAGE(I96:I101)</f>
        <v>64.74166667</v>
      </c>
      <c r="I101" s="2">
        <f t="shared" si="34"/>
        <v>79.88</v>
      </c>
      <c r="M101" s="2">
        <f t="shared" si="35"/>
        <v>6380.8144</v>
      </c>
      <c r="O101" s="2">
        <v>350.347</v>
      </c>
      <c r="P101" s="2">
        <v>350.348</v>
      </c>
      <c r="Q101" s="2">
        <v>350.584</v>
      </c>
      <c r="R101" s="2">
        <v>350.857</v>
      </c>
      <c r="S101" s="2">
        <v>351.024</v>
      </c>
      <c r="W101" s="2">
        <f t="shared" si="36"/>
        <v>0</v>
      </c>
    </row>
    <row r="102" ht="15.75" customHeight="1">
      <c r="M102" s="2" t="str">
        <f t="shared" ref="M102:M103" si="37">IF(I102 ="","", I102^2)</f>
        <v/>
      </c>
      <c r="O102" s="2" t="s">
        <v>24</v>
      </c>
      <c r="P102" s="2" t="s">
        <v>24</v>
      </c>
      <c r="Q102" s="2" t="s">
        <v>24</v>
      </c>
      <c r="R102" s="2" t="s">
        <v>24</v>
      </c>
      <c r="S102" s="2" t="s">
        <v>24</v>
      </c>
      <c r="W102" s="2">
        <f t="shared" si="36"/>
        <v>0</v>
      </c>
    </row>
    <row r="103" ht="15.75" customHeight="1">
      <c r="M103" s="2" t="str">
        <f t="shared" si="37"/>
        <v/>
      </c>
      <c r="O103" s="2" t="s">
        <v>24</v>
      </c>
      <c r="P103" s="2" t="s">
        <v>24</v>
      </c>
      <c r="Q103" s="2" t="s">
        <v>24</v>
      </c>
      <c r="R103" s="2" t="s">
        <v>24</v>
      </c>
      <c r="S103" s="2" t="s">
        <v>24</v>
      </c>
      <c r="W103" s="2">
        <f t="shared" si="36"/>
        <v>0</v>
      </c>
    </row>
    <row r="104" ht="15.75" customHeight="1">
      <c r="W104" s="2">
        <f t="shared" si="36"/>
        <v>0</v>
      </c>
    </row>
    <row r="105" ht="15.75" customHeight="1">
      <c r="A105" s="2" t="s">
        <v>1</v>
      </c>
      <c r="B105" s="2" t="s">
        <v>2</v>
      </c>
      <c r="C105" s="2" t="s">
        <v>3</v>
      </c>
      <c r="D105" s="2" t="s">
        <v>4</v>
      </c>
      <c r="E105" s="2" t="s">
        <v>5</v>
      </c>
      <c r="F105" s="2" t="s">
        <v>6</v>
      </c>
      <c r="G105" s="9"/>
      <c r="I105" s="2" t="s">
        <v>30</v>
      </c>
      <c r="W105" s="2">
        <f t="shared" si="36"/>
        <v>0</v>
      </c>
    </row>
    <row r="106" ht="15.75" customHeight="1">
      <c r="A106" s="2" t="s">
        <v>29</v>
      </c>
      <c r="B106" s="2" t="s">
        <v>21</v>
      </c>
      <c r="C106" s="2" t="s">
        <v>31</v>
      </c>
      <c r="D106" s="2">
        <v>90.0</v>
      </c>
      <c r="E106" s="2">
        <v>0.0</v>
      </c>
      <c r="F106" s="2">
        <v>26.4</v>
      </c>
      <c r="G106" s="9"/>
      <c r="I106" s="2">
        <f t="shared" ref="I106:I111" si="38">IF(ISNUMBER(E106), MIN(ABS(F106-E106), 360-ABS(F106-E106)), "")</f>
        <v>26.4</v>
      </c>
      <c r="M106" s="2">
        <f t="shared" ref="M106:M111" si="39">IF(ISNUMBER(I106), I106^2, "")</f>
        <v>696.96</v>
      </c>
      <c r="O106" s="2">
        <v>25.678</v>
      </c>
      <c r="P106" s="2">
        <v>27.761</v>
      </c>
      <c r="Q106" s="2">
        <v>25.639</v>
      </c>
      <c r="R106" s="2">
        <v>27.222</v>
      </c>
      <c r="S106" s="2">
        <v>26.22</v>
      </c>
      <c r="U106" s="2">
        <f>AVERAGE(I106:I111)</f>
        <v>48.63333333</v>
      </c>
      <c r="W106" s="2">
        <f>SQRT(AVERAGE(M106:M111))</f>
        <v>70.09576782</v>
      </c>
      <c r="Y106" s="5">
        <f t="array" ref="Y106">AVERAGE(IF(F106:F111-E106:E111&gt;180, F106:F111-E106:E111-360, IF(F106:F111-E106:E111&lt;-180, F106:F111-E106:E111+360, F106:F111-E106:E111)))</f>
        <v>-11.26666667</v>
      </c>
      <c r="AA106" s="5">
        <f t="array" ref="AA106">STDEV(IF(F106:F111-E106:E111&gt;180, F106:F111-E106:E111-360, IF(F106:F111-E106:E111&lt;-180, F106:F111-E106:E111+360, F106:F111-E106:E111)))</f>
        <v>75.78769469</v>
      </c>
      <c r="AC106" s="2" t="str">
        <f>TEXT(Y106, "0.00") &amp; " ± " &amp; TEXT(1.96 * AA106 / SQRT(6), "0.00")</f>
        <v>-11.27 ± 60.64</v>
      </c>
    </row>
    <row r="107" ht="15.75" customHeight="1">
      <c r="A107" s="2" t="s">
        <v>29</v>
      </c>
      <c r="B107" s="2" t="s">
        <v>21</v>
      </c>
      <c r="C107" s="2" t="s">
        <v>31</v>
      </c>
      <c r="D107" s="2">
        <v>90.0</v>
      </c>
      <c r="E107" s="2">
        <v>22.5</v>
      </c>
      <c r="F107" s="2">
        <v>4.7</v>
      </c>
      <c r="G107" s="9"/>
      <c r="I107" s="2">
        <f t="shared" si="38"/>
        <v>17.8</v>
      </c>
      <c r="M107" s="2">
        <f t="shared" si="39"/>
        <v>316.84</v>
      </c>
      <c r="O107" s="2">
        <v>4.271</v>
      </c>
      <c r="P107" s="2">
        <v>3.288</v>
      </c>
      <c r="Q107" s="2">
        <v>4.224</v>
      </c>
      <c r="R107" s="2">
        <v>3.275</v>
      </c>
      <c r="S107" s="2">
        <v>5.909</v>
      </c>
      <c r="W107" s="2">
        <f t="shared" ref="W107:W113" si="40">SQRT(U107)</f>
        <v>0</v>
      </c>
    </row>
    <row r="108" ht="15.75" customHeight="1">
      <c r="A108" s="2" t="s">
        <v>29</v>
      </c>
      <c r="B108" s="2" t="s">
        <v>21</v>
      </c>
      <c r="C108" s="2" t="s">
        <v>31</v>
      </c>
      <c r="D108" s="2">
        <v>90.0</v>
      </c>
      <c r="E108" s="2">
        <v>45.0</v>
      </c>
      <c r="F108" s="2">
        <v>250.5</v>
      </c>
      <c r="G108" s="9"/>
      <c r="I108" s="2">
        <f t="shared" si="38"/>
        <v>154.5</v>
      </c>
      <c r="M108" s="2">
        <f t="shared" si="39"/>
        <v>23870.25</v>
      </c>
      <c r="O108" s="2">
        <v>251.63</v>
      </c>
      <c r="P108" s="2">
        <v>250.473</v>
      </c>
      <c r="Q108" s="2">
        <v>249.547</v>
      </c>
      <c r="R108" s="2">
        <v>251.215</v>
      </c>
      <c r="S108" s="2">
        <v>249.406</v>
      </c>
      <c r="W108" s="2">
        <f t="shared" si="40"/>
        <v>0</v>
      </c>
    </row>
    <row r="109" ht="15.75" customHeight="1">
      <c r="A109" s="2" t="s">
        <v>29</v>
      </c>
      <c r="B109" s="2" t="s">
        <v>21</v>
      </c>
      <c r="C109" s="2" t="s">
        <v>31</v>
      </c>
      <c r="D109" s="2">
        <v>90.0</v>
      </c>
      <c r="E109" s="2">
        <v>90.0</v>
      </c>
      <c r="F109" s="2">
        <v>153.7</v>
      </c>
      <c r="G109" s="9"/>
      <c r="I109" s="2">
        <f t="shared" si="38"/>
        <v>63.7</v>
      </c>
      <c r="M109" s="2">
        <f t="shared" si="39"/>
        <v>4057.69</v>
      </c>
      <c r="O109" s="2">
        <v>153.616</v>
      </c>
      <c r="P109" s="2">
        <v>154.591</v>
      </c>
      <c r="Q109" s="2">
        <v>155.171</v>
      </c>
      <c r="R109" s="2">
        <v>153.587</v>
      </c>
      <c r="S109" s="2">
        <v>153.485</v>
      </c>
      <c r="W109" s="2">
        <f t="shared" si="40"/>
        <v>0</v>
      </c>
    </row>
    <row r="110" ht="15.75" customHeight="1">
      <c r="A110" s="2" t="s">
        <v>29</v>
      </c>
      <c r="B110" s="2" t="s">
        <v>21</v>
      </c>
      <c r="C110" s="2" t="s">
        <v>31</v>
      </c>
      <c r="D110" s="2">
        <v>90.0</v>
      </c>
      <c r="E110" s="2">
        <v>180.0</v>
      </c>
      <c r="F110" s="2">
        <v>172.6</v>
      </c>
      <c r="G110" s="9"/>
      <c r="I110" s="2">
        <f t="shared" si="38"/>
        <v>7.4</v>
      </c>
      <c r="M110" s="2">
        <f t="shared" si="39"/>
        <v>54.76</v>
      </c>
      <c r="O110" s="2">
        <v>173.976</v>
      </c>
      <c r="P110" s="2">
        <v>172.775</v>
      </c>
      <c r="Q110" s="2">
        <v>173.945</v>
      </c>
      <c r="R110" s="2">
        <v>174.055</v>
      </c>
      <c r="S110" s="2">
        <v>172.79</v>
      </c>
      <c r="W110" s="2">
        <f t="shared" si="40"/>
        <v>0</v>
      </c>
    </row>
    <row r="111" ht="15.75" customHeight="1">
      <c r="A111" s="2" t="s">
        <v>29</v>
      </c>
      <c r="B111" s="2" t="s">
        <v>21</v>
      </c>
      <c r="C111" s="2" t="s">
        <v>31</v>
      </c>
      <c r="D111" s="2">
        <v>90.0</v>
      </c>
      <c r="E111" s="2">
        <v>270.0</v>
      </c>
      <c r="F111" s="2">
        <v>292.0</v>
      </c>
      <c r="G111" s="9">
        <f>AVERAGE(I106:I111)</f>
        <v>48.63333333</v>
      </c>
      <c r="I111" s="2">
        <f t="shared" si="38"/>
        <v>22</v>
      </c>
      <c r="M111" s="2">
        <f t="shared" si="39"/>
        <v>484</v>
      </c>
      <c r="O111" s="2">
        <v>290.998</v>
      </c>
      <c r="P111" s="2">
        <v>292.013</v>
      </c>
      <c r="Q111" s="2">
        <v>292.587</v>
      </c>
      <c r="R111" s="2">
        <v>292.278</v>
      </c>
      <c r="S111" s="2">
        <v>292.339</v>
      </c>
      <c r="W111" s="2">
        <f t="shared" si="40"/>
        <v>0</v>
      </c>
    </row>
    <row r="112" ht="15.75" customHeight="1">
      <c r="G112" s="9"/>
      <c r="M112" s="2" t="str">
        <f>IF(I112 ="","", I112^2)</f>
        <v/>
      </c>
      <c r="O112" s="2" t="s">
        <v>24</v>
      </c>
      <c r="P112" s="2" t="s">
        <v>24</v>
      </c>
      <c r="Q112" s="2" t="s">
        <v>24</v>
      </c>
      <c r="R112" s="2" t="s">
        <v>24</v>
      </c>
      <c r="S112" s="2" t="s">
        <v>24</v>
      </c>
      <c r="W112" s="2">
        <f t="shared" si="40"/>
        <v>0</v>
      </c>
    </row>
    <row r="113" ht="15.75" customHeight="1">
      <c r="A113" s="2" t="s">
        <v>1</v>
      </c>
      <c r="B113" s="2" t="s">
        <v>2</v>
      </c>
      <c r="C113" s="2" t="s">
        <v>3</v>
      </c>
      <c r="D113" s="2" t="s">
        <v>4</v>
      </c>
      <c r="E113" s="2" t="s">
        <v>5</v>
      </c>
      <c r="F113" s="2" t="s">
        <v>6</v>
      </c>
      <c r="G113" s="9"/>
      <c r="I113" s="2" t="s">
        <v>30</v>
      </c>
      <c r="W113" s="2">
        <f t="shared" si="40"/>
        <v>0</v>
      </c>
    </row>
    <row r="114" ht="15.75" customHeight="1">
      <c r="A114" s="2" t="s">
        <v>29</v>
      </c>
      <c r="B114" s="2" t="s">
        <v>26</v>
      </c>
      <c r="C114" s="2" t="s">
        <v>31</v>
      </c>
      <c r="D114" s="2">
        <v>90.0</v>
      </c>
      <c r="E114" s="2">
        <v>0.0</v>
      </c>
      <c r="F114" s="2">
        <v>351.93</v>
      </c>
      <c r="G114" s="9"/>
      <c r="I114" s="2">
        <f t="shared" ref="I114:I119" si="41">IF(ISNUMBER(E114), MIN(ABS(F114-E114), 360-ABS(F114-E114)), "")</f>
        <v>8.07</v>
      </c>
      <c r="M114" s="2">
        <f t="shared" ref="M114:M119" si="42">IF(ISNUMBER(I114), I114^2, "")</f>
        <v>65.1249</v>
      </c>
      <c r="O114" s="2">
        <v>353.357</v>
      </c>
      <c r="P114" s="2">
        <v>352.497</v>
      </c>
      <c r="Q114" s="2">
        <v>352.802</v>
      </c>
      <c r="R114" s="2">
        <v>350.567</v>
      </c>
      <c r="S114" s="2">
        <v>353.404</v>
      </c>
      <c r="U114" s="2">
        <f>AVERAGE(I114:I119)</f>
        <v>38.7615</v>
      </c>
      <c r="W114" s="2">
        <f>SQRT(AVERAGE(M114:M119))</f>
        <v>49.3288712</v>
      </c>
      <c r="Y114" s="5">
        <f t="array" ref="Y114">AVERAGE(IF(F114:F119-E114:E119&gt;180, F114:F119-E114:E119-360, IF(F114:F119-E114:E119&lt;-180, F114:F119-E114:E119+360, F114:F119-E114:E119)))</f>
        <v>7.7275</v>
      </c>
      <c r="AA114" s="5">
        <f t="array" ref="AA114">STDEV(IF(F114:F119-E114:E119&gt;180, F114:F119-E114:E119-360, IF(F114:F119-E114:E119&lt;-180, F114:F119-E114:E119+360, F114:F119-E114:E119)))</f>
        <v>53.36991599</v>
      </c>
      <c r="AC114" s="2" t="str">
        <f>TEXT(Y114, "0.00") &amp; " ± " &amp; TEXT(1.96 * AA114 / SQRT(6), "0.00")</f>
        <v>7.73 ± 42.70</v>
      </c>
    </row>
    <row r="115" ht="15.75" customHeight="1">
      <c r="A115" s="2" t="s">
        <v>29</v>
      </c>
      <c r="B115" s="2" t="s">
        <v>26</v>
      </c>
      <c r="C115" s="2" t="s">
        <v>31</v>
      </c>
      <c r="D115" s="2">
        <v>90.0</v>
      </c>
      <c r="E115" s="2">
        <v>22.5</v>
      </c>
      <c r="F115" s="2">
        <v>354.032</v>
      </c>
      <c r="G115" s="9"/>
      <c r="I115" s="2">
        <f t="shared" si="41"/>
        <v>28.468</v>
      </c>
      <c r="M115" s="2">
        <f t="shared" si="42"/>
        <v>810.427024</v>
      </c>
      <c r="O115" s="2">
        <v>354.523</v>
      </c>
      <c r="P115" s="2">
        <v>353.566</v>
      </c>
      <c r="Q115" s="2">
        <v>353.438</v>
      </c>
      <c r="R115" s="2">
        <v>354.13</v>
      </c>
      <c r="S115" s="2">
        <v>355.295</v>
      </c>
      <c r="W115" s="2">
        <f t="shared" ref="W115:W121" si="43">SQRT(U115)</f>
        <v>0</v>
      </c>
    </row>
    <row r="116" ht="15.75" customHeight="1">
      <c r="A116" s="2" t="s">
        <v>29</v>
      </c>
      <c r="B116" s="2" t="s">
        <v>26</v>
      </c>
      <c r="C116" s="2" t="s">
        <v>31</v>
      </c>
      <c r="D116" s="2">
        <v>90.0</v>
      </c>
      <c r="E116" s="2">
        <v>45.0</v>
      </c>
      <c r="F116" s="2">
        <v>13.757</v>
      </c>
      <c r="G116" s="9"/>
      <c r="I116" s="2">
        <f t="shared" si="41"/>
        <v>31.243</v>
      </c>
      <c r="M116" s="2">
        <f t="shared" si="42"/>
        <v>976.125049</v>
      </c>
      <c r="O116" s="2">
        <v>12.522</v>
      </c>
      <c r="P116" s="2">
        <v>13.928</v>
      </c>
      <c r="Q116" s="2">
        <v>13.84</v>
      </c>
      <c r="R116" s="2">
        <v>13.179</v>
      </c>
      <c r="S116" s="2">
        <v>13.941</v>
      </c>
      <c r="W116" s="2">
        <f t="shared" si="43"/>
        <v>0</v>
      </c>
    </row>
    <row r="117" ht="15.75" customHeight="1">
      <c r="A117" s="2" t="s">
        <v>29</v>
      </c>
      <c r="B117" s="2" t="s">
        <v>26</v>
      </c>
      <c r="C117" s="2" t="s">
        <v>31</v>
      </c>
      <c r="D117" s="2">
        <v>90.0</v>
      </c>
      <c r="E117" s="2">
        <v>90.0</v>
      </c>
      <c r="F117" s="2">
        <v>64.679</v>
      </c>
      <c r="G117" s="9"/>
      <c r="I117" s="2">
        <f t="shared" si="41"/>
        <v>25.321</v>
      </c>
      <c r="M117" s="2">
        <f t="shared" si="42"/>
        <v>641.153041</v>
      </c>
      <c r="O117" s="2">
        <v>63.865</v>
      </c>
      <c r="P117" s="2">
        <v>65.024</v>
      </c>
      <c r="Q117" s="2">
        <v>64.286</v>
      </c>
      <c r="R117" s="2">
        <v>65.707</v>
      </c>
      <c r="S117" s="2">
        <v>64.982</v>
      </c>
      <c r="W117" s="2">
        <f t="shared" si="43"/>
        <v>0</v>
      </c>
    </row>
    <row r="118" ht="15.75" customHeight="1">
      <c r="A118" s="2" t="s">
        <v>29</v>
      </c>
      <c r="B118" s="2" t="s">
        <v>26</v>
      </c>
      <c r="C118" s="2" t="s">
        <v>31</v>
      </c>
      <c r="D118" s="2">
        <v>90.0</v>
      </c>
      <c r="E118" s="2">
        <v>180.0</v>
      </c>
      <c r="F118" s="2">
        <v>284.242</v>
      </c>
      <c r="G118" s="9"/>
      <c r="I118" s="2">
        <f t="shared" si="41"/>
        <v>104.242</v>
      </c>
      <c r="M118" s="2">
        <f t="shared" si="42"/>
        <v>10866.39456</v>
      </c>
      <c r="O118" s="2">
        <v>284.488</v>
      </c>
      <c r="P118" s="2">
        <v>285.159</v>
      </c>
      <c r="Q118" s="2">
        <v>283.57</v>
      </c>
      <c r="R118" s="2">
        <v>283.116</v>
      </c>
      <c r="S118" s="2">
        <v>285.434</v>
      </c>
      <c r="W118" s="2">
        <f t="shared" si="43"/>
        <v>0</v>
      </c>
    </row>
    <row r="119" ht="15.75" customHeight="1">
      <c r="A119" s="2" t="s">
        <v>29</v>
      </c>
      <c r="B119" s="2" t="s">
        <v>26</v>
      </c>
      <c r="C119" s="2" t="s">
        <v>31</v>
      </c>
      <c r="D119" s="2">
        <v>90.0</v>
      </c>
      <c r="E119" s="2">
        <v>270.0</v>
      </c>
      <c r="F119" s="2">
        <v>305.225</v>
      </c>
      <c r="G119" s="9">
        <f>AVERAGE(I114:I119)</f>
        <v>38.7615</v>
      </c>
      <c r="I119" s="2">
        <f t="shared" si="41"/>
        <v>35.225</v>
      </c>
      <c r="M119" s="2">
        <f t="shared" si="42"/>
        <v>1240.800625</v>
      </c>
      <c r="O119" s="2">
        <v>305.326</v>
      </c>
      <c r="P119" s="2">
        <v>305.447</v>
      </c>
      <c r="Q119" s="2">
        <v>304.631</v>
      </c>
      <c r="R119" s="2">
        <v>305.17</v>
      </c>
      <c r="S119" s="2">
        <v>304.98</v>
      </c>
      <c r="W119" s="2">
        <f t="shared" si="43"/>
        <v>0</v>
      </c>
    </row>
    <row r="120" ht="15.75" customHeight="1">
      <c r="G120" s="9"/>
      <c r="M120" s="2" t="str">
        <f>IF(I120 ="","", I120^2)</f>
        <v/>
      </c>
      <c r="O120" s="2" t="s">
        <v>24</v>
      </c>
      <c r="P120" s="2" t="s">
        <v>24</v>
      </c>
      <c r="Q120" s="2" t="s">
        <v>24</v>
      </c>
      <c r="R120" s="2" t="s">
        <v>24</v>
      </c>
      <c r="S120" s="2" t="s">
        <v>24</v>
      </c>
      <c r="W120" s="2">
        <f t="shared" si="43"/>
        <v>0</v>
      </c>
    </row>
    <row r="121" ht="15.75" customHeight="1">
      <c r="A121" s="2" t="s">
        <v>1</v>
      </c>
      <c r="B121" s="2" t="s">
        <v>2</v>
      </c>
      <c r="C121" s="2" t="s">
        <v>3</v>
      </c>
      <c r="D121" s="2" t="s">
        <v>4</v>
      </c>
      <c r="E121" s="2" t="s">
        <v>5</v>
      </c>
      <c r="F121" s="2" t="s">
        <v>6</v>
      </c>
      <c r="G121" s="9"/>
      <c r="I121" s="2" t="s">
        <v>30</v>
      </c>
      <c r="W121" s="2">
        <f t="shared" si="43"/>
        <v>0</v>
      </c>
    </row>
    <row r="122" ht="15.75" customHeight="1">
      <c r="A122" s="2" t="s">
        <v>29</v>
      </c>
      <c r="B122" s="2" t="s">
        <v>27</v>
      </c>
      <c r="C122" s="2" t="s">
        <v>31</v>
      </c>
      <c r="D122" s="2">
        <v>90.0</v>
      </c>
      <c r="E122" s="2">
        <v>0.0</v>
      </c>
      <c r="F122" s="2">
        <v>5.56</v>
      </c>
      <c r="G122" s="9"/>
      <c r="I122" s="2">
        <f t="shared" ref="I122:I127" si="44">IF(ISNUMBER(E122), MIN(ABS(F122-E122), 360-ABS(F122-E122)), "")</f>
        <v>5.56</v>
      </c>
      <c r="M122" s="2">
        <f t="shared" ref="M122:M127" si="45">IF(ISNUMBER(I122), I122^2, "")</f>
        <v>30.9136</v>
      </c>
      <c r="O122" s="2">
        <v>6.427</v>
      </c>
      <c r="P122" s="2">
        <v>4.086</v>
      </c>
      <c r="Q122" s="2">
        <v>6.506</v>
      </c>
      <c r="R122" s="2">
        <v>6.333</v>
      </c>
      <c r="S122" s="2">
        <v>6.699</v>
      </c>
      <c r="U122" s="2">
        <f>AVERAGE(I122:I127)</f>
        <v>14.71333333</v>
      </c>
      <c r="W122" s="2">
        <f>SQRT(AVERAGE(M122:M127))</f>
        <v>19.07078132</v>
      </c>
      <c r="Y122" s="5">
        <f t="array" ref="Y122">AVERAGE(IF(F122:F127-E122:E127&gt;180, F122:F127-E122:E127-360, IF(F122:F127-E122:E127&lt;-180, F122:F127-E122:E127+360, F122:F127-E122:E127)))</f>
        <v>10.71</v>
      </c>
      <c r="AA122" s="5">
        <f t="array" ref="AA122">STDEV(IF(F122:F127-E122:E127&gt;180, F122:F127-E122:E127-360, IF(F122:F127-E122:E127&lt;-180, F122:F127-E122:E127+360, F122:F127-E122:E127)))</f>
        <v>17.28550607</v>
      </c>
      <c r="AC122" s="2" t="str">
        <f>TEXT(Y122, "0.00") &amp; " ± " &amp; TEXT(1.96 * AA122 / SQRT(6), "0.00")</f>
        <v>10.71 ± 13.83</v>
      </c>
    </row>
    <row r="123" ht="15.75" customHeight="1">
      <c r="A123" s="2" t="s">
        <v>29</v>
      </c>
      <c r="B123" s="2" t="s">
        <v>27</v>
      </c>
      <c r="C123" s="2" t="s">
        <v>31</v>
      </c>
      <c r="D123" s="2">
        <v>90.0</v>
      </c>
      <c r="E123" s="2">
        <v>22.5</v>
      </c>
      <c r="F123" s="2">
        <v>13.87</v>
      </c>
      <c r="G123" s="9"/>
      <c r="I123" s="2">
        <f t="shared" si="44"/>
        <v>8.63</v>
      </c>
      <c r="M123" s="2">
        <f t="shared" si="45"/>
        <v>74.4769</v>
      </c>
      <c r="O123" s="2">
        <v>13.566</v>
      </c>
      <c r="P123" s="2">
        <v>13.342</v>
      </c>
      <c r="Q123" s="2">
        <v>14.485</v>
      </c>
      <c r="R123" s="2">
        <v>13.512</v>
      </c>
      <c r="S123" s="2">
        <v>12.532</v>
      </c>
      <c r="W123" s="2">
        <f t="shared" ref="W123:W131" si="46">SQRT(U123)</f>
        <v>0</v>
      </c>
    </row>
    <row r="124" ht="15.75" customHeight="1">
      <c r="A124" s="2" t="s">
        <v>29</v>
      </c>
      <c r="B124" s="2" t="s">
        <v>27</v>
      </c>
      <c r="C124" s="2" t="s">
        <v>31</v>
      </c>
      <c r="D124" s="2">
        <v>90.0</v>
      </c>
      <c r="E124" s="2">
        <v>45.0</v>
      </c>
      <c r="F124" s="2">
        <v>54.66</v>
      </c>
      <c r="G124" s="9"/>
      <c r="I124" s="2">
        <f t="shared" si="44"/>
        <v>9.66</v>
      </c>
      <c r="M124" s="2">
        <f t="shared" si="45"/>
        <v>93.3156</v>
      </c>
      <c r="O124" s="2">
        <v>54.294</v>
      </c>
      <c r="P124" s="2">
        <v>54.052</v>
      </c>
      <c r="Q124" s="2">
        <v>54.664</v>
      </c>
      <c r="R124" s="2">
        <v>54.001</v>
      </c>
      <c r="S124" s="2">
        <v>56.053</v>
      </c>
      <c r="W124" s="2">
        <f t="shared" si="46"/>
        <v>0</v>
      </c>
    </row>
    <row r="125" ht="15.75" customHeight="1">
      <c r="A125" s="2" t="s">
        <v>29</v>
      </c>
      <c r="B125" s="2" t="s">
        <v>27</v>
      </c>
      <c r="C125" s="2" t="s">
        <v>31</v>
      </c>
      <c r="D125" s="2">
        <v>90.0</v>
      </c>
      <c r="E125" s="2">
        <v>90.0</v>
      </c>
      <c r="F125" s="2">
        <v>86.62</v>
      </c>
      <c r="G125" s="9"/>
      <c r="I125" s="2">
        <f t="shared" si="44"/>
        <v>3.38</v>
      </c>
      <c r="M125" s="2">
        <f t="shared" si="45"/>
        <v>11.4244</v>
      </c>
      <c r="O125" s="2">
        <v>87.212</v>
      </c>
      <c r="P125" s="2">
        <v>85.375</v>
      </c>
      <c r="Q125" s="2">
        <v>85.828</v>
      </c>
      <c r="R125" s="2">
        <v>87.001</v>
      </c>
      <c r="S125" s="2">
        <v>85.795</v>
      </c>
      <c r="W125" s="2">
        <f t="shared" si="46"/>
        <v>0</v>
      </c>
    </row>
    <row r="126" ht="15.75" customHeight="1">
      <c r="A126" s="2" t="s">
        <v>29</v>
      </c>
      <c r="B126" s="2" t="s">
        <v>27</v>
      </c>
      <c r="C126" s="2" t="s">
        <v>31</v>
      </c>
      <c r="D126" s="2">
        <v>90.0</v>
      </c>
      <c r="E126" s="2">
        <v>180.0</v>
      </c>
      <c r="F126" s="2">
        <v>217.89</v>
      </c>
      <c r="G126" s="9"/>
      <c r="I126" s="2">
        <f t="shared" si="44"/>
        <v>37.89</v>
      </c>
      <c r="M126" s="2">
        <f t="shared" si="45"/>
        <v>1435.6521</v>
      </c>
      <c r="O126" s="2">
        <v>216.402</v>
      </c>
      <c r="P126" s="2">
        <v>216.399</v>
      </c>
      <c r="Q126" s="2">
        <v>217.282</v>
      </c>
      <c r="R126" s="2">
        <v>217.506</v>
      </c>
      <c r="S126" s="2">
        <v>219.051</v>
      </c>
      <c r="W126" s="2">
        <f t="shared" si="46"/>
        <v>0</v>
      </c>
    </row>
    <row r="127" ht="15.75" customHeight="1">
      <c r="A127" s="2" t="s">
        <v>29</v>
      </c>
      <c r="B127" s="2" t="s">
        <v>27</v>
      </c>
      <c r="C127" s="2" t="s">
        <v>31</v>
      </c>
      <c r="D127" s="2">
        <v>90.0</v>
      </c>
      <c r="E127" s="2">
        <v>270.0</v>
      </c>
      <c r="F127" s="2">
        <v>293.16</v>
      </c>
      <c r="G127" s="9">
        <f>AVERAGE(I122:I127)</f>
        <v>14.71333333</v>
      </c>
      <c r="I127" s="2">
        <f t="shared" si="44"/>
        <v>23.16</v>
      </c>
      <c r="M127" s="2">
        <f t="shared" si="45"/>
        <v>536.3856</v>
      </c>
      <c r="O127" s="2">
        <v>292.34</v>
      </c>
      <c r="P127" s="2">
        <v>292.837</v>
      </c>
      <c r="Q127" s="2">
        <v>293.056</v>
      </c>
      <c r="R127" s="2">
        <v>294.02</v>
      </c>
      <c r="S127" s="2">
        <v>292.777</v>
      </c>
      <c r="W127" s="2">
        <f t="shared" si="46"/>
        <v>0</v>
      </c>
    </row>
    <row r="128" ht="15.0" customHeight="1">
      <c r="M128" s="2" t="str">
        <f t="shared" ref="M128:M129" si="47">IF(I128 ="","", I128^2)</f>
        <v/>
      </c>
      <c r="O128" s="2" t="s">
        <v>24</v>
      </c>
      <c r="P128" s="2" t="s">
        <v>24</v>
      </c>
      <c r="Q128" s="2" t="s">
        <v>24</v>
      </c>
      <c r="R128" s="2" t="s">
        <v>24</v>
      </c>
      <c r="S128" s="2" t="s">
        <v>24</v>
      </c>
      <c r="W128" s="2">
        <f t="shared" si="46"/>
        <v>0</v>
      </c>
    </row>
    <row r="129" ht="15.75" customHeight="1">
      <c r="M129" s="2" t="str">
        <f t="shared" si="47"/>
        <v/>
      </c>
      <c r="O129" s="2" t="s">
        <v>24</v>
      </c>
      <c r="P129" s="2" t="s">
        <v>24</v>
      </c>
      <c r="Q129" s="2" t="s">
        <v>24</v>
      </c>
      <c r="R129" s="2" t="s">
        <v>24</v>
      </c>
      <c r="S129" s="2" t="s">
        <v>24</v>
      </c>
      <c r="W129" s="2">
        <f t="shared" si="46"/>
        <v>0</v>
      </c>
    </row>
    <row r="130" ht="15.75" customHeight="1">
      <c r="W130" s="2">
        <f t="shared" si="46"/>
        <v>0</v>
      </c>
    </row>
    <row r="131" ht="15.75" customHeight="1">
      <c r="A131" s="2" t="s">
        <v>1</v>
      </c>
      <c r="B131" s="2" t="s">
        <v>2</v>
      </c>
      <c r="C131" s="2" t="s">
        <v>3</v>
      </c>
      <c r="D131" s="2" t="s">
        <v>4</v>
      </c>
      <c r="E131" s="2" t="s">
        <v>5</v>
      </c>
      <c r="F131" s="2" t="s">
        <v>6</v>
      </c>
      <c r="G131" s="10"/>
      <c r="I131" s="2" t="s">
        <v>30</v>
      </c>
      <c r="W131" s="2">
        <f t="shared" si="46"/>
        <v>0</v>
      </c>
    </row>
    <row r="132" ht="15.75" customHeight="1">
      <c r="A132" s="2" t="s">
        <v>29</v>
      </c>
      <c r="B132" s="2" t="s">
        <v>21</v>
      </c>
      <c r="C132" s="2" t="s">
        <v>31</v>
      </c>
      <c r="D132" s="2">
        <v>180.0</v>
      </c>
      <c r="E132" s="2">
        <v>0.0</v>
      </c>
      <c r="F132" s="2">
        <v>359.9</v>
      </c>
      <c r="G132" s="10"/>
      <c r="I132" s="2">
        <f t="shared" ref="I132:I137" si="48">IF(ISNUMBER(E132), MIN(ABS(F132-E132), 360-ABS(F132-E132)), "")</f>
        <v>0.1</v>
      </c>
      <c r="M132" s="2">
        <f t="shared" ref="M132:M137" si="49">IF(ISNUMBER(I132), I132^2, "")</f>
        <v>0.01</v>
      </c>
      <c r="O132" s="2">
        <v>360.629</v>
      </c>
      <c r="P132" s="2">
        <v>358.93</v>
      </c>
      <c r="Q132" s="2">
        <v>361.038</v>
      </c>
      <c r="R132" s="2">
        <v>360.804</v>
      </c>
      <c r="S132" s="2">
        <v>359.176</v>
      </c>
      <c r="U132" s="2">
        <f>AVERAGE(I132:I137)</f>
        <v>69.71666667</v>
      </c>
      <c r="W132" s="2">
        <f>SQRT(AVERAGE(M132:M137))</f>
        <v>101.0696047</v>
      </c>
      <c r="Y132" s="5">
        <f t="array" ref="Y132">AVERAGE(IF(F132:F137-E132:E137&gt;180, F132:F137-E132:E137-360, IF(F132:F137-E132:E137&lt;-180, F132:F137-E132:E137+360, F132:F137-E132:E137)))</f>
        <v>-43.61666667</v>
      </c>
      <c r="AA132" s="5">
        <f t="array" ref="AA132">STDEV(IF(F132:F137-E132:E137&gt;180, F132:F137-E132:E137-360, IF(F132:F137-E132:E137&lt;-180, F132:F137-E132:E137+360, F132:F137-E132:E137)))</f>
        <v>99.87583124</v>
      </c>
      <c r="AC132" s="2" t="str">
        <f>TEXT(Y132, "0.00") &amp; " ± " &amp; TEXT(1.96 * AA132 / SQRT(6), "0.00")</f>
        <v>-43.62 ± 79.92</v>
      </c>
    </row>
    <row r="133" ht="15.75" customHeight="1">
      <c r="A133" s="2" t="s">
        <v>29</v>
      </c>
      <c r="B133" s="2" t="s">
        <v>21</v>
      </c>
      <c r="C133" s="2" t="s">
        <v>31</v>
      </c>
      <c r="D133" s="2">
        <v>180.0</v>
      </c>
      <c r="E133" s="2">
        <v>22.5</v>
      </c>
      <c r="F133" s="2">
        <v>209.8</v>
      </c>
      <c r="G133" s="10"/>
      <c r="I133" s="2">
        <f t="shared" si="48"/>
        <v>172.7</v>
      </c>
      <c r="M133" s="2">
        <f t="shared" si="49"/>
        <v>29825.29</v>
      </c>
      <c r="O133" s="2">
        <v>208.651</v>
      </c>
      <c r="P133" s="2">
        <v>210.769</v>
      </c>
      <c r="Q133" s="2">
        <v>209.602</v>
      </c>
      <c r="R133" s="2">
        <v>208.358</v>
      </c>
      <c r="S133" s="2">
        <v>210.942</v>
      </c>
      <c r="W133" s="2">
        <f t="shared" ref="W133:W139" si="50">SQRT(U133)</f>
        <v>0</v>
      </c>
    </row>
    <row r="134" ht="15.75" customHeight="1">
      <c r="A134" s="2" t="s">
        <v>29</v>
      </c>
      <c r="B134" s="2" t="s">
        <v>21</v>
      </c>
      <c r="C134" s="2" t="s">
        <v>31</v>
      </c>
      <c r="D134" s="2">
        <v>180.0</v>
      </c>
      <c r="E134" s="2">
        <v>45.0</v>
      </c>
      <c r="F134" s="2">
        <v>47.6</v>
      </c>
      <c r="G134" s="10"/>
      <c r="I134" s="2">
        <f t="shared" si="48"/>
        <v>2.6</v>
      </c>
      <c r="M134" s="2">
        <f t="shared" si="49"/>
        <v>6.76</v>
      </c>
      <c r="O134" s="2">
        <v>46.861</v>
      </c>
      <c r="P134" s="2">
        <v>47.79</v>
      </c>
      <c r="Q134" s="2">
        <v>47.102</v>
      </c>
      <c r="R134" s="2">
        <v>47.668</v>
      </c>
      <c r="S134" s="2">
        <v>48.164</v>
      </c>
      <c r="W134" s="2">
        <f t="shared" si="50"/>
        <v>0</v>
      </c>
    </row>
    <row r="135" ht="15.75" customHeight="1">
      <c r="A135" s="2" t="s">
        <v>29</v>
      </c>
      <c r="B135" s="2" t="s">
        <v>21</v>
      </c>
      <c r="C135" s="2" t="s">
        <v>31</v>
      </c>
      <c r="D135" s="2">
        <v>180.0</v>
      </c>
      <c r="E135" s="2">
        <v>90.0</v>
      </c>
      <c r="F135" s="2">
        <v>110.0</v>
      </c>
      <c r="G135" s="10"/>
      <c r="I135" s="2">
        <f t="shared" si="48"/>
        <v>20</v>
      </c>
      <c r="M135" s="2">
        <f t="shared" si="49"/>
        <v>400</v>
      </c>
      <c r="O135" s="2">
        <v>110.98</v>
      </c>
      <c r="P135" s="2">
        <v>110.607</v>
      </c>
      <c r="Q135" s="2">
        <v>109.665</v>
      </c>
      <c r="R135" s="2">
        <v>110.092</v>
      </c>
      <c r="S135" s="2">
        <v>110.38</v>
      </c>
      <c r="W135" s="2">
        <f t="shared" si="50"/>
        <v>0</v>
      </c>
    </row>
    <row r="136" ht="15.75" customHeight="1">
      <c r="A136" s="2" t="s">
        <v>29</v>
      </c>
      <c r="B136" s="2" t="s">
        <v>21</v>
      </c>
      <c r="C136" s="2" t="s">
        <v>31</v>
      </c>
      <c r="D136" s="2">
        <v>180.0</v>
      </c>
      <c r="E136" s="2">
        <v>180.0</v>
      </c>
      <c r="F136" s="2">
        <v>12.8</v>
      </c>
      <c r="G136" s="10"/>
      <c r="I136" s="2">
        <f t="shared" si="48"/>
        <v>167.2</v>
      </c>
      <c r="M136" s="2">
        <f t="shared" si="49"/>
        <v>27955.84</v>
      </c>
      <c r="O136" s="2">
        <v>14.052</v>
      </c>
      <c r="P136" s="2">
        <v>11.793</v>
      </c>
      <c r="Q136" s="2">
        <v>12.344</v>
      </c>
      <c r="R136" s="2">
        <v>13.82</v>
      </c>
      <c r="S136" s="2">
        <v>12.444</v>
      </c>
      <c r="W136" s="2">
        <f t="shared" si="50"/>
        <v>0</v>
      </c>
    </row>
    <row r="137" ht="15.75" customHeight="1">
      <c r="A137" s="2" t="s">
        <v>29</v>
      </c>
      <c r="B137" s="2" t="s">
        <v>21</v>
      </c>
      <c r="C137" s="2" t="s">
        <v>31</v>
      </c>
      <c r="D137" s="2">
        <v>180.0</v>
      </c>
      <c r="E137" s="2">
        <v>270.0</v>
      </c>
      <c r="F137" s="2">
        <v>325.7</v>
      </c>
      <c r="G137" s="10">
        <f>AVERAGE(I132:I137)</f>
        <v>69.71666667</v>
      </c>
      <c r="I137" s="2">
        <f t="shared" si="48"/>
        <v>55.7</v>
      </c>
      <c r="M137" s="2">
        <f t="shared" si="49"/>
        <v>3102.49</v>
      </c>
      <c r="O137" s="2">
        <v>324.347</v>
      </c>
      <c r="P137" s="2">
        <v>325.914</v>
      </c>
      <c r="Q137" s="2">
        <v>324.572</v>
      </c>
      <c r="R137" s="2">
        <v>325.671</v>
      </c>
      <c r="S137" s="2">
        <v>327.023</v>
      </c>
      <c r="W137" s="2">
        <f t="shared" si="50"/>
        <v>0</v>
      </c>
    </row>
    <row r="138" ht="15.75" customHeight="1">
      <c r="G138" s="10"/>
      <c r="M138" s="2" t="str">
        <f>IF(I138 ="","", I138^2)</f>
        <v/>
      </c>
      <c r="O138" s="2" t="s">
        <v>24</v>
      </c>
      <c r="P138" s="2" t="s">
        <v>24</v>
      </c>
      <c r="Q138" s="2" t="s">
        <v>24</v>
      </c>
      <c r="R138" s="2" t="s">
        <v>24</v>
      </c>
      <c r="S138" s="2" t="s">
        <v>24</v>
      </c>
      <c r="W138" s="2">
        <f t="shared" si="50"/>
        <v>0</v>
      </c>
    </row>
    <row r="139" ht="15.75" customHeight="1">
      <c r="A139" s="2" t="s">
        <v>1</v>
      </c>
      <c r="B139" s="2" t="s">
        <v>2</v>
      </c>
      <c r="C139" s="2" t="s">
        <v>3</v>
      </c>
      <c r="D139" s="2" t="s">
        <v>4</v>
      </c>
      <c r="E139" s="2" t="s">
        <v>5</v>
      </c>
      <c r="F139" s="2" t="s">
        <v>6</v>
      </c>
      <c r="G139" s="10"/>
      <c r="I139" s="2" t="s">
        <v>30</v>
      </c>
      <c r="W139" s="2">
        <f t="shared" si="50"/>
        <v>0</v>
      </c>
    </row>
    <row r="140" ht="15.75" customHeight="1">
      <c r="A140" s="2" t="s">
        <v>29</v>
      </c>
      <c r="B140" s="2" t="s">
        <v>26</v>
      </c>
      <c r="C140" s="2" t="s">
        <v>31</v>
      </c>
      <c r="D140" s="2">
        <v>180.0</v>
      </c>
      <c r="E140" s="2">
        <v>0.0</v>
      </c>
      <c r="F140" s="2">
        <v>353.586</v>
      </c>
      <c r="G140" s="10"/>
      <c r="I140" s="2">
        <f t="shared" ref="I140:I145" si="51">IF(ISNUMBER(E140), MIN(ABS(F140-E140), 360-ABS(F140-E140)), "")</f>
        <v>6.414</v>
      </c>
      <c r="M140" s="2">
        <f t="shared" ref="M140:M145" si="52">IF(ISNUMBER(I140), I140^2, "")</f>
        <v>41.139396</v>
      </c>
      <c r="O140" s="2">
        <v>354.235</v>
      </c>
      <c r="P140" s="2">
        <v>352.792</v>
      </c>
      <c r="Q140" s="2">
        <v>352.957</v>
      </c>
      <c r="R140" s="2">
        <v>354.921</v>
      </c>
      <c r="S140" s="2">
        <v>352.973</v>
      </c>
      <c r="U140" s="2">
        <f>AVERAGE(I140:I145)</f>
        <v>41.34866667</v>
      </c>
      <c r="W140" s="2">
        <f>SQRT(AVERAGE(M140:M145))</f>
        <v>52.36023919</v>
      </c>
      <c r="Y140" s="5">
        <f t="array" ref="Y140">AVERAGE(IF(F140:F145-E140:E145&gt;180, F140:F145-E140:E145-360, IF(F140:F145-E140:E145&lt;-180, F140:F145-E140:E145+360, F140:F145-E140:E145)))</f>
        <v>11.52966667</v>
      </c>
      <c r="AA140" s="5">
        <f t="array" ref="AA140">STDEV(IF(F140:F145-E140:E145&gt;180, F140:F145-E140:E145-360, IF(F140:F145-E140:E145&lt;-180, F140:F145-E140:E145+360, F140:F145-E140:E145)))</f>
        <v>55.94992155</v>
      </c>
      <c r="AC140" s="2" t="str">
        <f>TEXT(Y140, "0.00") &amp; " ± " &amp; TEXT(1.96 * AA140 / SQRT(6), "0.00")</f>
        <v>11.53 ± 44.77</v>
      </c>
    </row>
    <row r="141" ht="15.75" customHeight="1">
      <c r="A141" s="2" t="s">
        <v>29</v>
      </c>
      <c r="B141" s="2" t="s">
        <v>26</v>
      </c>
      <c r="C141" s="2" t="s">
        <v>31</v>
      </c>
      <c r="D141" s="2">
        <v>180.0</v>
      </c>
      <c r="E141" s="2">
        <v>22.5</v>
      </c>
      <c r="F141" s="2">
        <v>354.265</v>
      </c>
      <c r="G141" s="10"/>
      <c r="I141" s="2">
        <f t="shared" si="51"/>
        <v>28.235</v>
      </c>
      <c r="M141" s="2">
        <f t="shared" si="52"/>
        <v>797.215225</v>
      </c>
      <c r="O141" s="2">
        <v>353.658</v>
      </c>
      <c r="P141" s="2">
        <v>355.273</v>
      </c>
      <c r="Q141" s="2">
        <v>353.219</v>
      </c>
      <c r="R141" s="2">
        <v>355.155</v>
      </c>
      <c r="S141" s="2">
        <v>355.498</v>
      </c>
      <c r="W141" s="2">
        <f t="shared" ref="W141:W147" si="53">SQRT(U141)</f>
        <v>0</v>
      </c>
    </row>
    <row r="142" ht="15.75" customHeight="1">
      <c r="A142" s="2" t="s">
        <v>29</v>
      </c>
      <c r="B142" s="2" t="s">
        <v>26</v>
      </c>
      <c r="C142" s="2" t="s">
        <v>31</v>
      </c>
      <c r="D142" s="2">
        <v>180.0</v>
      </c>
      <c r="E142" s="2">
        <v>45.0</v>
      </c>
      <c r="F142" s="2">
        <v>35.148</v>
      </c>
      <c r="G142" s="10"/>
      <c r="I142" s="2">
        <f t="shared" si="51"/>
        <v>9.852</v>
      </c>
      <c r="M142" s="2">
        <f t="shared" si="52"/>
        <v>97.061904</v>
      </c>
      <c r="O142" s="2">
        <v>34.29</v>
      </c>
      <c r="P142" s="2">
        <v>34.863</v>
      </c>
      <c r="Q142" s="2">
        <v>36.4</v>
      </c>
      <c r="R142" s="2">
        <v>36.517</v>
      </c>
      <c r="S142" s="2">
        <v>34.268</v>
      </c>
      <c r="W142" s="2">
        <f t="shared" si="53"/>
        <v>0</v>
      </c>
    </row>
    <row r="143" ht="15.75" customHeight="1">
      <c r="A143" s="2" t="s">
        <v>29</v>
      </c>
      <c r="B143" s="2" t="s">
        <v>26</v>
      </c>
      <c r="C143" s="2" t="s">
        <v>31</v>
      </c>
      <c r="D143" s="2">
        <v>180.0</v>
      </c>
      <c r="E143" s="2">
        <v>90.0</v>
      </c>
      <c r="F143" s="2">
        <v>45.044</v>
      </c>
      <c r="G143" s="10"/>
      <c r="I143" s="2">
        <f t="shared" si="51"/>
        <v>44.956</v>
      </c>
      <c r="M143" s="2">
        <f t="shared" si="52"/>
        <v>2021.041936</v>
      </c>
      <c r="O143" s="2">
        <v>44.343</v>
      </c>
      <c r="P143" s="2">
        <v>46.1</v>
      </c>
      <c r="Q143" s="2">
        <v>46.426</v>
      </c>
      <c r="R143" s="2">
        <v>46.477</v>
      </c>
      <c r="S143" s="2">
        <v>44.496</v>
      </c>
      <c r="W143" s="2">
        <f t="shared" si="53"/>
        <v>0</v>
      </c>
    </row>
    <row r="144" ht="15.75" customHeight="1">
      <c r="A144" s="2" t="s">
        <v>29</v>
      </c>
      <c r="B144" s="2" t="s">
        <v>26</v>
      </c>
      <c r="C144" s="2" t="s">
        <v>31</v>
      </c>
      <c r="D144" s="2">
        <v>180.0</v>
      </c>
      <c r="E144" s="2">
        <v>180.0</v>
      </c>
      <c r="F144" s="2">
        <v>280.655</v>
      </c>
      <c r="G144" s="10"/>
      <c r="I144" s="2">
        <f t="shared" si="51"/>
        <v>100.655</v>
      </c>
      <c r="M144" s="2">
        <f t="shared" si="52"/>
        <v>10131.42903</v>
      </c>
      <c r="O144" s="2">
        <v>281.625</v>
      </c>
      <c r="P144" s="2">
        <v>281.081</v>
      </c>
      <c r="Q144" s="2">
        <v>280.124</v>
      </c>
      <c r="R144" s="2">
        <v>281.124</v>
      </c>
      <c r="S144" s="2">
        <v>281.835</v>
      </c>
      <c r="W144" s="2">
        <f t="shared" si="53"/>
        <v>0</v>
      </c>
    </row>
    <row r="145" ht="15.75" customHeight="1">
      <c r="A145" s="2" t="s">
        <v>29</v>
      </c>
      <c r="B145" s="2" t="s">
        <v>26</v>
      </c>
      <c r="C145" s="2" t="s">
        <v>31</v>
      </c>
      <c r="D145" s="2">
        <v>180.0</v>
      </c>
      <c r="E145" s="2">
        <v>270.0</v>
      </c>
      <c r="F145" s="2">
        <v>327.98</v>
      </c>
      <c r="G145" s="10">
        <f>AVERAGE(I140:I145)</f>
        <v>41.34866667</v>
      </c>
      <c r="I145" s="2">
        <f t="shared" si="51"/>
        <v>57.98</v>
      </c>
      <c r="M145" s="2">
        <f t="shared" si="52"/>
        <v>3361.6804</v>
      </c>
      <c r="O145" s="2">
        <v>326.955</v>
      </c>
      <c r="P145" s="2">
        <v>326.832</v>
      </c>
      <c r="Q145" s="2">
        <v>328.699</v>
      </c>
      <c r="R145" s="2">
        <v>327.666</v>
      </c>
      <c r="S145" s="2">
        <v>329.394</v>
      </c>
      <c r="W145" s="2">
        <f t="shared" si="53"/>
        <v>0</v>
      </c>
    </row>
    <row r="146" ht="15.75" customHeight="1">
      <c r="G146" s="10"/>
      <c r="M146" s="2" t="str">
        <f>IF(I146 ="","", I146^2)</f>
        <v/>
      </c>
      <c r="O146" s="2" t="s">
        <v>24</v>
      </c>
      <c r="P146" s="2" t="s">
        <v>24</v>
      </c>
      <c r="Q146" s="2" t="s">
        <v>24</v>
      </c>
      <c r="R146" s="2" t="s">
        <v>24</v>
      </c>
      <c r="S146" s="2" t="s">
        <v>24</v>
      </c>
      <c r="W146" s="2">
        <f t="shared" si="53"/>
        <v>0</v>
      </c>
    </row>
    <row r="147" ht="15.75" customHeight="1">
      <c r="A147" s="2" t="s">
        <v>1</v>
      </c>
      <c r="B147" s="2" t="s">
        <v>2</v>
      </c>
      <c r="C147" s="2" t="s">
        <v>3</v>
      </c>
      <c r="D147" s="2" t="s">
        <v>4</v>
      </c>
      <c r="E147" s="2" t="s">
        <v>5</v>
      </c>
      <c r="F147" s="2" t="s">
        <v>6</v>
      </c>
      <c r="G147" s="10"/>
      <c r="I147" s="2" t="s">
        <v>30</v>
      </c>
      <c r="W147" s="2">
        <f t="shared" si="53"/>
        <v>0</v>
      </c>
    </row>
    <row r="148" ht="15.75" customHeight="1">
      <c r="A148" s="2" t="s">
        <v>29</v>
      </c>
      <c r="B148" s="2" t="s">
        <v>27</v>
      </c>
      <c r="C148" s="2" t="s">
        <v>31</v>
      </c>
      <c r="D148" s="2">
        <v>180.0</v>
      </c>
      <c r="E148" s="2">
        <v>0.0</v>
      </c>
      <c r="F148" s="2">
        <v>34.55</v>
      </c>
      <c r="G148" s="10"/>
      <c r="I148" s="2">
        <f t="shared" ref="I148:I153" si="54">IF(ISNUMBER(E148), MIN(ABS(F148-E148), 360-ABS(F148-E148)), "")</f>
        <v>34.55</v>
      </c>
      <c r="M148" s="2">
        <f t="shared" ref="M148:M153" si="55">IF(ISNUMBER(I148), I148^2, "")</f>
        <v>1193.7025</v>
      </c>
      <c r="O148" s="2">
        <v>35.718</v>
      </c>
      <c r="P148" s="2">
        <v>34.205</v>
      </c>
      <c r="Q148" s="2">
        <v>36.027</v>
      </c>
      <c r="R148" s="2">
        <v>34.298</v>
      </c>
      <c r="S148" s="2">
        <v>35.948</v>
      </c>
      <c r="U148" s="2">
        <f>AVERAGE(I148:I153)</f>
        <v>25.39666667</v>
      </c>
      <c r="W148" s="2">
        <f>SQRT(AVERAGE(M148:M153))</f>
        <v>26.30665252</v>
      </c>
      <c r="Y148" s="5">
        <f t="array" ref="Y148">AVERAGE(IF(F148:F153-E148&gt;180, F148:F153-E148:E153-360, IF(F148:F153-E148:E153&lt;-180, F148:F153-E148:E153+360, F148:F153-E148:E153)))</f>
        <v>-101.6566667</v>
      </c>
      <c r="AA148" s="5">
        <f t="array" ref="AA148">STDEV(IF(F148:F153-E148&gt;180, F148:F153-E148:E153-360, IF(F148:F153-E148:E153&lt;-180, F148:F153-E148:E153+360, F148:F153-E148:E153)))</f>
        <v>177.3889357</v>
      </c>
      <c r="AC148" s="2" t="str">
        <f>TEXT(Y148, "0.00") &amp; " ± " &amp; TEXT(1.96 * AA148 / SQRT(6), "0.00")</f>
        <v>-101.66 ± 141.94</v>
      </c>
    </row>
    <row r="149" ht="15.75" customHeight="1">
      <c r="A149" s="2" t="s">
        <v>29</v>
      </c>
      <c r="B149" s="2" t="s">
        <v>27</v>
      </c>
      <c r="C149" s="2" t="s">
        <v>31</v>
      </c>
      <c r="D149" s="2">
        <v>180.0</v>
      </c>
      <c r="E149" s="2">
        <v>22.5</v>
      </c>
      <c r="F149" s="2">
        <v>38.36</v>
      </c>
      <c r="G149" s="10"/>
      <c r="I149" s="2">
        <f t="shared" si="54"/>
        <v>15.86</v>
      </c>
      <c r="M149" s="2">
        <f t="shared" si="55"/>
        <v>251.5396</v>
      </c>
      <c r="O149" s="2">
        <v>36.925</v>
      </c>
      <c r="P149" s="2">
        <v>38.029</v>
      </c>
      <c r="Q149" s="2">
        <v>38.266</v>
      </c>
      <c r="R149" s="2">
        <v>37.812</v>
      </c>
      <c r="S149" s="2">
        <v>37.49</v>
      </c>
    </row>
    <row r="150" ht="15.75" customHeight="1">
      <c r="A150" s="2" t="s">
        <v>29</v>
      </c>
      <c r="B150" s="2" t="s">
        <v>27</v>
      </c>
      <c r="C150" s="2" t="s">
        <v>31</v>
      </c>
      <c r="D150" s="2">
        <v>180.0</v>
      </c>
      <c r="E150" s="2">
        <v>45.0</v>
      </c>
      <c r="F150" s="2">
        <v>64.68</v>
      </c>
      <c r="G150" s="10"/>
      <c r="I150" s="2">
        <f t="shared" si="54"/>
        <v>19.68</v>
      </c>
      <c r="M150" s="2">
        <f t="shared" si="55"/>
        <v>387.3024</v>
      </c>
      <c r="O150" s="2">
        <v>64.996</v>
      </c>
      <c r="P150" s="2">
        <v>65.9</v>
      </c>
      <c r="Q150" s="2">
        <v>64.864</v>
      </c>
      <c r="R150" s="2">
        <v>64.295</v>
      </c>
      <c r="S150" s="2">
        <v>65.934</v>
      </c>
    </row>
    <row r="151" ht="15.75" customHeight="1">
      <c r="A151" s="2" t="s">
        <v>29</v>
      </c>
      <c r="B151" s="2" t="s">
        <v>27</v>
      </c>
      <c r="C151" s="2" t="s">
        <v>31</v>
      </c>
      <c r="D151" s="2">
        <v>180.0</v>
      </c>
      <c r="E151" s="2">
        <v>90.0</v>
      </c>
      <c r="F151" s="2">
        <v>68.84</v>
      </c>
      <c r="G151" s="10"/>
      <c r="I151" s="2">
        <f t="shared" si="54"/>
        <v>21.16</v>
      </c>
      <c r="M151" s="2">
        <f t="shared" si="55"/>
        <v>447.7456</v>
      </c>
      <c r="O151" s="2">
        <v>68.254</v>
      </c>
      <c r="P151" s="2">
        <v>70.143</v>
      </c>
      <c r="Q151" s="2">
        <v>67.494</v>
      </c>
      <c r="R151" s="2">
        <v>67.838</v>
      </c>
      <c r="S151" s="2">
        <v>68.87</v>
      </c>
    </row>
    <row r="152" ht="15.75" customHeight="1">
      <c r="A152" s="2" t="s">
        <v>29</v>
      </c>
      <c r="B152" s="2" t="s">
        <v>27</v>
      </c>
      <c r="C152" s="2" t="s">
        <v>31</v>
      </c>
      <c r="D152" s="2">
        <v>180.0</v>
      </c>
      <c r="E152" s="2">
        <v>180.0</v>
      </c>
      <c r="F152" s="2">
        <v>209.24</v>
      </c>
      <c r="G152" s="10"/>
      <c r="I152" s="2">
        <f t="shared" si="54"/>
        <v>29.24</v>
      </c>
      <c r="M152" s="2">
        <f t="shared" si="55"/>
        <v>854.9776</v>
      </c>
      <c r="O152" s="2">
        <v>210.064</v>
      </c>
      <c r="P152" s="2">
        <v>208.566</v>
      </c>
      <c r="Q152" s="2">
        <v>208.348</v>
      </c>
      <c r="R152" s="2">
        <v>208.021</v>
      </c>
      <c r="S152" s="2">
        <v>210.679</v>
      </c>
    </row>
    <row r="153" ht="15.75" customHeight="1">
      <c r="A153" s="2" t="s">
        <v>29</v>
      </c>
      <c r="B153" s="2" t="s">
        <v>27</v>
      </c>
      <c r="C153" s="2" t="s">
        <v>31</v>
      </c>
      <c r="D153" s="2">
        <v>180.0</v>
      </c>
      <c r="E153" s="2">
        <v>270.0</v>
      </c>
      <c r="F153" s="2">
        <v>301.89</v>
      </c>
      <c r="G153" s="10">
        <f>AVERAGE(I148:I153)</f>
        <v>25.39666667</v>
      </c>
      <c r="I153" s="2">
        <f t="shared" si="54"/>
        <v>31.89</v>
      </c>
      <c r="M153" s="2">
        <f t="shared" si="55"/>
        <v>1016.9721</v>
      </c>
      <c r="O153" s="2">
        <v>300.956</v>
      </c>
      <c r="P153" s="2">
        <v>302.225</v>
      </c>
      <c r="Q153" s="2">
        <v>302.895</v>
      </c>
      <c r="R153" s="2">
        <v>300.781</v>
      </c>
      <c r="S153" s="2">
        <v>301.765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>
      <c r="A168" s="2" t="s">
        <v>1</v>
      </c>
      <c r="B168" s="2" t="s">
        <v>2</v>
      </c>
      <c r="C168" s="2" t="s">
        <v>3</v>
      </c>
      <c r="D168" s="2" t="s">
        <v>4</v>
      </c>
      <c r="E168" s="2" t="s">
        <v>5</v>
      </c>
      <c r="F168" s="2" t="s">
        <v>6</v>
      </c>
      <c r="G168" s="9"/>
      <c r="I168" s="2" t="s">
        <v>30</v>
      </c>
      <c r="W168" s="2">
        <f>SQRT(U168)</f>
        <v>0</v>
      </c>
    </row>
    <row r="169" ht="15.75" customHeight="1">
      <c r="A169" s="2" t="s">
        <v>29</v>
      </c>
      <c r="B169" s="2" t="s">
        <v>21</v>
      </c>
      <c r="C169" s="5" t="s">
        <v>32</v>
      </c>
      <c r="D169" s="2">
        <v>90.0</v>
      </c>
      <c r="E169" s="2">
        <v>0.0</v>
      </c>
      <c r="F169" s="5">
        <v>357.7</v>
      </c>
      <c r="G169" s="9"/>
      <c r="I169" s="2">
        <f t="shared" ref="I169:I174" si="56">IF(ISNUMBER(E169), MIN(ABS(F169-E169), 360-ABS(F169-E169)), "")</f>
        <v>2.3</v>
      </c>
      <c r="M169" s="2">
        <f t="shared" ref="M169:M174" si="57">IF(ISNUMBER(I169), I169^2, "")</f>
        <v>5.29</v>
      </c>
      <c r="O169" s="2">
        <v>25.678</v>
      </c>
      <c r="P169" s="2">
        <v>27.761</v>
      </c>
      <c r="Q169" s="2">
        <v>25.639</v>
      </c>
      <c r="R169" s="2">
        <v>27.222</v>
      </c>
      <c r="S169" s="2">
        <v>26.22</v>
      </c>
      <c r="U169" s="2">
        <f>AVERAGE(I169:I174)</f>
        <v>50.71666667</v>
      </c>
      <c r="W169" s="2">
        <f>SQRT(AVERAGE(M169:M174))</f>
        <v>63.22398016</v>
      </c>
      <c r="Y169" s="5">
        <f t="array" ref="Y169">AVERAGE(IF(F169:F174-E169:E174&gt;180, F169:F174-E169:E174-360, IF(F169:F174-E169:E174&lt;-180, F169:F174-E169:E174+360, F169:F174-E169:E174)))</f>
        <v>19.68333333</v>
      </c>
      <c r="AA169" s="5">
        <f t="array" ref="AA169">STDEV(IF(F169:F174-E169:E174&gt;180, F169:F174-E169:E174-360, IF(F169:F174-E169:E174&lt;-180, F169:F174-E169:E174+360, F169:F174-E169:E174)))</f>
        <v>65.81645438</v>
      </c>
      <c r="AC169" s="2" t="str">
        <f>TEXT(Y169, "0.00") &amp; " ± " &amp; TEXT(1.96 * AA169 / SQRT(6), "0.00")</f>
        <v>19.68 ± 52.66</v>
      </c>
    </row>
    <row r="170" ht="15.75" customHeight="1">
      <c r="A170" s="2" t="s">
        <v>29</v>
      </c>
      <c r="B170" s="2" t="s">
        <v>21</v>
      </c>
      <c r="C170" s="5" t="s">
        <v>32</v>
      </c>
      <c r="D170" s="2">
        <v>90.0</v>
      </c>
      <c r="E170" s="2">
        <v>22.5</v>
      </c>
      <c r="F170" s="5">
        <v>353.1</v>
      </c>
      <c r="G170" s="9"/>
      <c r="I170" s="2">
        <f t="shared" si="56"/>
        <v>29.4</v>
      </c>
      <c r="M170" s="2">
        <f t="shared" si="57"/>
        <v>864.36</v>
      </c>
      <c r="O170" s="2">
        <v>4.271</v>
      </c>
      <c r="P170" s="2">
        <v>3.288</v>
      </c>
      <c r="Q170" s="2">
        <v>4.224</v>
      </c>
      <c r="R170" s="2">
        <v>3.275</v>
      </c>
      <c r="S170" s="2">
        <v>5.909</v>
      </c>
      <c r="W170" s="2">
        <f t="shared" ref="W170:W176" si="58">SQRT(U170)</f>
        <v>0</v>
      </c>
    </row>
    <row r="171" ht="15.75" customHeight="1">
      <c r="A171" s="2" t="s">
        <v>29</v>
      </c>
      <c r="B171" s="2" t="s">
        <v>21</v>
      </c>
      <c r="C171" s="5" t="s">
        <v>32</v>
      </c>
      <c r="D171" s="2">
        <v>90.0</v>
      </c>
      <c r="E171" s="2">
        <v>45.0</v>
      </c>
      <c r="F171" s="5">
        <v>74.7</v>
      </c>
      <c r="G171" s="9"/>
      <c r="I171" s="2">
        <f t="shared" si="56"/>
        <v>29.7</v>
      </c>
      <c r="M171" s="2">
        <f t="shared" si="57"/>
        <v>882.09</v>
      </c>
      <c r="O171" s="2">
        <v>251.63</v>
      </c>
      <c r="P171" s="2">
        <v>250.473</v>
      </c>
      <c r="Q171" s="2">
        <v>249.547</v>
      </c>
      <c r="R171" s="2">
        <v>251.215</v>
      </c>
      <c r="S171" s="2">
        <v>249.406</v>
      </c>
      <c r="W171" s="2">
        <f t="shared" si="58"/>
        <v>0</v>
      </c>
    </row>
    <row r="172" ht="15.75" customHeight="1">
      <c r="A172" s="2" t="s">
        <v>29</v>
      </c>
      <c r="B172" s="2" t="s">
        <v>21</v>
      </c>
      <c r="C172" s="5" t="s">
        <v>32</v>
      </c>
      <c r="D172" s="2">
        <v>90.0</v>
      </c>
      <c r="E172" s="2">
        <v>90.0</v>
      </c>
      <c r="F172" s="5">
        <v>28.6</v>
      </c>
      <c r="G172" s="9"/>
      <c r="I172" s="2">
        <f t="shared" si="56"/>
        <v>61.4</v>
      </c>
      <c r="M172" s="2">
        <f t="shared" si="57"/>
        <v>3769.96</v>
      </c>
      <c r="O172" s="2">
        <v>153.616</v>
      </c>
      <c r="P172" s="2">
        <v>154.591</v>
      </c>
      <c r="Q172" s="2">
        <v>155.171</v>
      </c>
      <c r="R172" s="2">
        <v>153.587</v>
      </c>
      <c r="S172" s="2">
        <v>153.485</v>
      </c>
      <c r="W172" s="2">
        <f t="shared" si="58"/>
        <v>0</v>
      </c>
    </row>
    <row r="173" ht="15.75" customHeight="1">
      <c r="A173" s="2" t="s">
        <v>29</v>
      </c>
      <c r="B173" s="2" t="s">
        <v>21</v>
      </c>
      <c r="C173" s="5" t="s">
        <v>32</v>
      </c>
      <c r="D173" s="2">
        <v>90.0</v>
      </c>
      <c r="E173" s="2">
        <v>180.0</v>
      </c>
      <c r="F173" s="5">
        <v>239.2</v>
      </c>
      <c r="G173" s="9"/>
      <c r="I173" s="2">
        <f t="shared" si="56"/>
        <v>59.2</v>
      </c>
      <c r="M173" s="2">
        <f t="shared" si="57"/>
        <v>3504.64</v>
      </c>
      <c r="O173" s="2">
        <v>173.976</v>
      </c>
      <c r="P173" s="2">
        <v>172.775</v>
      </c>
      <c r="Q173" s="2">
        <v>173.945</v>
      </c>
      <c r="R173" s="2">
        <v>174.055</v>
      </c>
      <c r="S173" s="2">
        <v>172.79</v>
      </c>
      <c r="W173" s="2">
        <f t="shared" si="58"/>
        <v>0</v>
      </c>
    </row>
    <row r="174" ht="15.75" customHeight="1">
      <c r="A174" s="2" t="s">
        <v>29</v>
      </c>
      <c r="B174" s="2" t="s">
        <v>21</v>
      </c>
      <c r="C174" s="5" t="s">
        <v>32</v>
      </c>
      <c r="D174" s="2">
        <v>90.0</v>
      </c>
      <c r="E174" s="2">
        <v>270.0</v>
      </c>
      <c r="F174" s="5">
        <v>32.3</v>
      </c>
      <c r="G174" s="9">
        <f>AVERAGE(I169:I174)</f>
        <v>50.71666667</v>
      </c>
      <c r="I174" s="2">
        <f t="shared" si="56"/>
        <v>122.3</v>
      </c>
      <c r="M174" s="2">
        <f t="shared" si="57"/>
        <v>14957.29</v>
      </c>
      <c r="O174" s="2">
        <v>290.998</v>
      </c>
      <c r="P174" s="2">
        <v>292.013</v>
      </c>
      <c r="Q174" s="2">
        <v>292.587</v>
      </c>
      <c r="R174" s="2">
        <v>292.278</v>
      </c>
      <c r="S174" s="2">
        <v>292.339</v>
      </c>
      <c r="W174" s="2">
        <f t="shared" si="58"/>
        <v>0</v>
      </c>
    </row>
    <row r="175" ht="15.75" customHeight="1">
      <c r="G175" s="9"/>
      <c r="M175" s="2" t="str">
        <f>IF(I175 ="","", I175^2)</f>
        <v/>
      </c>
      <c r="O175" s="2" t="s">
        <v>24</v>
      </c>
      <c r="P175" s="2" t="s">
        <v>24</v>
      </c>
      <c r="Q175" s="2" t="s">
        <v>24</v>
      </c>
      <c r="R175" s="2" t="s">
        <v>24</v>
      </c>
      <c r="S175" s="2" t="s">
        <v>24</v>
      </c>
      <c r="W175" s="2">
        <f t="shared" si="58"/>
        <v>0</v>
      </c>
    </row>
    <row r="176" ht="15.75" customHeight="1">
      <c r="A176" s="2" t="s">
        <v>1</v>
      </c>
      <c r="B176" s="2" t="s">
        <v>2</v>
      </c>
      <c r="C176" s="2" t="s">
        <v>3</v>
      </c>
      <c r="D176" s="2" t="s">
        <v>4</v>
      </c>
      <c r="E176" s="2" t="s">
        <v>5</v>
      </c>
      <c r="F176" s="2" t="s">
        <v>6</v>
      </c>
      <c r="G176" s="9"/>
      <c r="I176" s="2" t="s">
        <v>30</v>
      </c>
      <c r="W176" s="2">
        <f t="shared" si="58"/>
        <v>0</v>
      </c>
    </row>
    <row r="177" ht="15.75" customHeight="1">
      <c r="A177" s="2" t="s">
        <v>29</v>
      </c>
      <c r="B177" s="2" t="s">
        <v>26</v>
      </c>
      <c r="C177" s="5" t="s">
        <v>32</v>
      </c>
      <c r="D177" s="2">
        <v>90.0</v>
      </c>
      <c r="E177" s="2">
        <v>0.0</v>
      </c>
      <c r="F177" s="5">
        <v>330.75</v>
      </c>
      <c r="G177" s="9"/>
      <c r="I177" s="2">
        <f t="shared" ref="I177:I182" si="59">IF(ISNUMBER(E177), MIN(ABS(F177-E177), 360-ABS(F177-E177)), "")</f>
        <v>29.25</v>
      </c>
      <c r="M177" s="2">
        <f t="shared" ref="M177:M182" si="60">IF(ISNUMBER(I177), I177^2, "")</f>
        <v>855.5625</v>
      </c>
      <c r="O177" s="2">
        <v>353.357</v>
      </c>
      <c r="P177" s="2">
        <v>352.497</v>
      </c>
      <c r="Q177" s="2">
        <v>352.802</v>
      </c>
      <c r="R177" s="2">
        <v>350.567</v>
      </c>
      <c r="S177" s="2">
        <v>353.404</v>
      </c>
      <c r="U177" s="2">
        <f>AVERAGE(I177:I182)</f>
        <v>40.87</v>
      </c>
      <c r="W177" s="2">
        <f>SQRT(AVERAGE(M177:M182))</f>
        <v>45.00820814</v>
      </c>
      <c r="Y177" s="5">
        <f t="array" ref="Y177">AVERAGE(IF(F177:F182-E177:E182&gt;180, F177:F182-E177:E182-360, IF(F177:F182-E177:E182&lt;-180, F177:F182-E177:E182+360, F177:F182-E177:E182)))</f>
        <v>-39.10333333</v>
      </c>
      <c r="AA177" s="5">
        <f t="array" ref="AA177">STDEV(IF(F177:F182-E177:E182&gt;180, F177:F182-E177:E182-360, IF(F177:F182-E177:E182&lt;-180, F177:F182-E177:E182+360, F177:F182-E177:E182)))</f>
        <v>24.413147</v>
      </c>
      <c r="AC177" s="2" t="str">
        <f>TEXT(Y177, "0.00") &amp; " ± " &amp; TEXT(1.96 * AA177 / SQRT(6), "0.00")</f>
        <v>-39.10 ± 19.53</v>
      </c>
    </row>
    <row r="178" ht="15.75" customHeight="1">
      <c r="A178" s="2" t="s">
        <v>29</v>
      </c>
      <c r="B178" s="2" t="s">
        <v>26</v>
      </c>
      <c r="C178" s="5" t="s">
        <v>32</v>
      </c>
      <c r="D178" s="2">
        <v>90.0</v>
      </c>
      <c r="E178" s="2">
        <v>22.5</v>
      </c>
      <c r="F178" s="5">
        <v>319.23</v>
      </c>
      <c r="G178" s="9"/>
      <c r="I178" s="2">
        <f t="shared" si="59"/>
        <v>63.27</v>
      </c>
      <c r="M178" s="2">
        <f t="shared" si="60"/>
        <v>4003.0929</v>
      </c>
      <c r="O178" s="2">
        <v>354.523</v>
      </c>
      <c r="P178" s="2">
        <v>353.566</v>
      </c>
      <c r="Q178" s="2">
        <v>353.438</v>
      </c>
      <c r="R178" s="2">
        <v>354.13</v>
      </c>
      <c r="S178" s="2">
        <v>355.295</v>
      </c>
      <c r="W178" s="2">
        <f t="shared" ref="W178:W184" si="61">SQRT(U178)</f>
        <v>0</v>
      </c>
    </row>
    <row r="179" ht="15.75" customHeight="1">
      <c r="A179" s="2" t="s">
        <v>29</v>
      </c>
      <c r="B179" s="2" t="s">
        <v>26</v>
      </c>
      <c r="C179" s="5" t="s">
        <v>32</v>
      </c>
      <c r="D179" s="2">
        <v>90.0</v>
      </c>
      <c r="E179" s="2">
        <v>45.0</v>
      </c>
      <c r="F179" s="5">
        <v>356.49</v>
      </c>
      <c r="G179" s="9"/>
      <c r="I179" s="2">
        <f t="shared" si="59"/>
        <v>48.51</v>
      </c>
      <c r="M179" s="2">
        <f t="shared" si="60"/>
        <v>2353.2201</v>
      </c>
      <c r="O179" s="2">
        <v>12.522</v>
      </c>
      <c r="P179" s="2">
        <v>13.928</v>
      </c>
      <c r="Q179" s="2">
        <v>13.84</v>
      </c>
      <c r="R179" s="2">
        <v>13.179</v>
      </c>
      <c r="S179" s="2">
        <v>13.941</v>
      </c>
      <c r="W179" s="2">
        <f t="shared" si="61"/>
        <v>0</v>
      </c>
    </row>
    <row r="180" ht="15.75" customHeight="1">
      <c r="A180" s="2" t="s">
        <v>29</v>
      </c>
      <c r="B180" s="2" t="s">
        <v>26</v>
      </c>
      <c r="C180" s="5" t="s">
        <v>32</v>
      </c>
      <c r="D180" s="2">
        <v>90.0</v>
      </c>
      <c r="E180" s="2">
        <v>90.0</v>
      </c>
      <c r="F180" s="5">
        <v>44.08</v>
      </c>
      <c r="G180" s="9"/>
      <c r="I180" s="2">
        <f t="shared" si="59"/>
        <v>45.92</v>
      </c>
      <c r="M180" s="2">
        <f t="shared" si="60"/>
        <v>2108.6464</v>
      </c>
      <c r="O180" s="2">
        <v>63.865</v>
      </c>
      <c r="P180" s="2">
        <v>65.024</v>
      </c>
      <c r="Q180" s="2">
        <v>64.286</v>
      </c>
      <c r="R180" s="2">
        <v>65.707</v>
      </c>
      <c r="S180" s="2">
        <v>64.982</v>
      </c>
      <c r="W180" s="2">
        <f t="shared" si="61"/>
        <v>0</v>
      </c>
    </row>
    <row r="181" ht="15.75" customHeight="1">
      <c r="A181" s="2" t="s">
        <v>29</v>
      </c>
      <c r="B181" s="2" t="s">
        <v>26</v>
      </c>
      <c r="C181" s="5" t="s">
        <v>32</v>
      </c>
      <c r="D181" s="2">
        <v>90.0</v>
      </c>
      <c r="E181" s="2">
        <v>180.0</v>
      </c>
      <c r="F181" s="5">
        <v>185.3</v>
      </c>
      <c r="G181" s="9"/>
      <c r="I181" s="2">
        <f t="shared" si="59"/>
        <v>5.3</v>
      </c>
      <c r="M181" s="2">
        <f t="shared" si="60"/>
        <v>28.09</v>
      </c>
      <c r="O181" s="2">
        <v>284.488</v>
      </c>
      <c r="P181" s="2">
        <v>285.159</v>
      </c>
      <c r="Q181" s="2">
        <v>283.57</v>
      </c>
      <c r="R181" s="2">
        <v>283.116</v>
      </c>
      <c r="S181" s="2">
        <v>285.434</v>
      </c>
      <c r="W181" s="2">
        <f t="shared" si="61"/>
        <v>0</v>
      </c>
    </row>
    <row r="182" ht="15.75" customHeight="1">
      <c r="A182" s="2" t="s">
        <v>29</v>
      </c>
      <c r="B182" s="2" t="s">
        <v>26</v>
      </c>
      <c r="C182" s="5" t="s">
        <v>32</v>
      </c>
      <c r="D182" s="2">
        <v>90.0</v>
      </c>
      <c r="E182" s="2">
        <v>270.0</v>
      </c>
      <c r="F182" s="5">
        <v>217.03</v>
      </c>
      <c r="G182" s="9">
        <f>AVERAGE(I177:I182)</f>
        <v>40.87</v>
      </c>
      <c r="I182" s="2">
        <f t="shared" si="59"/>
        <v>52.97</v>
      </c>
      <c r="M182" s="2">
        <f t="shared" si="60"/>
        <v>2805.8209</v>
      </c>
      <c r="O182" s="2">
        <v>305.326</v>
      </c>
      <c r="P182" s="2">
        <v>305.447</v>
      </c>
      <c r="Q182" s="2">
        <v>304.631</v>
      </c>
      <c r="R182" s="2">
        <v>305.17</v>
      </c>
      <c r="S182" s="2">
        <v>304.98</v>
      </c>
      <c r="W182" s="2">
        <f t="shared" si="61"/>
        <v>0</v>
      </c>
    </row>
    <row r="183" ht="15.75" customHeight="1">
      <c r="G183" s="9"/>
      <c r="M183" s="2" t="str">
        <f>IF(I183 ="","", I183^2)</f>
        <v/>
      </c>
      <c r="O183" s="2" t="s">
        <v>24</v>
      </c>
      <c r="P183" s="2" t="s">
        <v>24</v>
      </c>
      <c r="Q183" s="2" t="s">
        <v>24</v>
      </c>
      <c r="R183" s="2" t="s">
        <v>24</v>
      </c>
      <c r="S183" s="2" t="s">
        <v>24</v>
      </c>
      <c r="W183" s="2">
        <f t="shared" si="61"/>
        <v>0</v>
      </c>
    </row>
    <row r="184" ht="15.75" customHeight="1">
      <c r="A184" s="2" t="s">
        <v>1</v>
      </c>
      <c r="B184" s="2" t="s">
        <v>2</v>
      </c>
      <c r="C184" s="2" t="s">
        <v>3</v>
      </c>
      <c r="D184" s="2" t="s">
        <v>4</v>
      </c>
      <c r="E184" s="2" t="s">
        <v>5</v>
      </c>
      <c r="F184" s="2" t="s">
        <v>6</v>
      </c>
      <c r="G184" s="9"/>
      <c r="I184" s="2" t="s">
        <v>30</v>
      </c>
      <c r="W184" s="2">
        <f t="shared" si="61"/>
        <v>0</v>
      </c>
    </row>
    <row r="185" ht="15.75" customHeight="1">
      <c r="A185" s="2" t="s">
        <v>29</v>
      </c>
      <c r="B185" s="2" t="s">
        <v>27</v>
      </c>
      <c r="C185" s="5" t="s">
        <v>32</v>
      </c>
      <c r="D185" s="2">
        <v>90.0</v>
      </c>
      <c r="E185" s="2">
        <v>0.0</v>
      </c>
      <c r="F185" s="5">
        <v>10.56</v>
      </c>
      <c r="G185" s="9"/>
      <c r="I185" s="2">
        <f t="shared" ref="I185:I190" si="62">IF(ISNUMBER(E185), MIN(ABS(F185-E185), 360-ABS(F185-E185)), "")</f>
        <v>10.56</v>
      </c>
      <c r="M185" s="2">
        <f t="shared" ref="M185:M190" si="63">IF(ISNUMBER(I185), I185^2, "")</f>
        <v>111.5136</v>
      </c>
      <c r="O185" s="2">
        <v>6.427</v>
      </c>
      <c r="P185" s="2">
        <v>4.086</v>
      </c>
      <c r="Q185" s="2">
        <v>6.506</v>
      </c>
      <c r="R185" s="2">
        <v>6.333</v>
      </c>
      <c r="S185" s="2">
        <v>6.699</v>
      </c>
      <c r="U185" s="2">
        <f>AVERAGE(I185:I190)</f>
        <v>25.14166667</v>
      </c>
      <c r="W185" s="2">
        <f>SQRT(AVERAGE(M185:M190))</f>
        <v>28.97386437</v>
      </c>
      <c r="Y185" s="5">
        <f t="array" ref="Y185">AVERAGE(IF(F185:F190-E185:E190&gt;180, F185:F190-E185:E190-360, IF(F185:F190-E185:E190&lt;-180, F185:F190-E185:E190+360, F185:F190-E185:E190)))</f>
        <v>14.12166667</v>
      </c>
      <c r="AA185" s="5">
        <f t="array" ref="AA185">STDEV(IF(F185:F190-E185:E190&gt;180, F185:F190-E185:E190-360, IF(F185:F190-E185:E190&lt;-180, F185:F190-E185:E190+360, F185:F190-E185:E190)))</f>
        <v>27.71418439</v>
      </c>
      <c r="AC185" s="2" t="str">
        <f>TEXT(Y185, "0.00") &amp; " ± " &amp; TEXT(1.96 * AA185 / SQRT(6), "0.00")</f>
        <v>14.12 ± 22.18</v>
      </c>
    </row>
    <row r="186" ht="15.75" customHeight="1">
      <c r="A186" s="2" t="s">
        <v>29</v>
      </c>
      <c r="B186" s="2" t="s">
        <v>27</v>
      </c>
      <c r="C186" s="5" t="s">
        <v>32</v>
      </c>
      <c r="D186" s="2">
        <v>90.0</v>
      </c>
      <c r="E186" s="2">
        <v>22.5</v>
      </c>
      <c r="F186" s="5">
        <v>47.8</v>
      </c>
      <c r="G186" s="9"/>
      <c r="I186" s="2">
        <f t="shared" si="62"/>
        <v>25.3</v>
      </c>
      <c r="M186" s="2">
        <f t="shared" si="63"/>
        <v>640.09</v>
      </c>
      <c r="O186" s="2">
        <v>13.566</v>
      </c>
      <c r="P186" s="2">
        <v>13.342</v>
      </c>
      <c r="Q186" s="2">
        <v>14.485</v>
      </c>
      <c r="R186" s="2">
        <v>13.512</v>
      </c>
      <c r="S186" s="2">
        <v>12.532</v>
      </c>
      <c r="W186" s="2">
        <f t="shared" ref="W186:W194" si="64">SQRT(U186)</f>
        <v>0</v>
      </c>
    </row>
    <row r="187" ht="15.75" customHeight="1">
      <c r="A187" s="2" t="s">
        <v>29</v>
      </c>
      <c r="B187" s="2" t="s">
        <v>27</v>
      </c>
      <c r="C187" s="5" t="s">
        <v>32</v>
      </c>
      <c r="D187" s="2">
        <v>90.0</v>
      </c>
      <c r="E187" s="2">
        <v>45.0</v>
      </c>
      <c r="F187" s="5">
        <v>11.94</v>
      </c>
      <c r="G187" s="9"/>
      <c r="I187" s="2">
        <f t="shared" si="62"/>
        <v>33.06</v>
      </c>
      <c r="M187" s="2">
        <f t="shared" si="63"/>
        <v>1092.9636</v>
      </c>
      <c r="O187" s="2">
        <v>54.294</v>
      </c>
      <c r="P187" s="2">
        <v>54.052</v>
      </c>
      <c r="Q187" s="2">
        <v>54.664</v>
      </c>
      <c r="R187" s="2">
        <v>54.001</v>
      </c>
      <c r="S187" s="2">
        <v>56.053</v>
      </c>
      <c r="W187" s="2">
        <f t="shared" si="64"/>
        <v>0</v>
      </c>
    </row>
    <row r="188" ht="15.75" customHeight="1">
      <c r="A188" s="2" t="s">
        <v>29</v>
      </c>
      <c r="B188" s="2" t="s">
        <v>27</v>
      </c>
      <c r="C188" s="5" t="s">
        <v>32</v>
      </c>
      <c r="D188" s="2">
        <v>90.0</v>
      </c>
      <c r="E188" s="2">
        <v>90.0</v>
      </c>
      <c r="F188" s="5">
        <v>104.65</v>
      </c>
      <c r="G188" s="9"/>
      <c r="I188" s="2">
        <f t="shared" si="62"/>
        <v>14.65</v>
      </c>
      <c r="M188" s="2">
        <f t="shared" si="63"/>
        <v>214.6225</v>
      </c>
      <c r="O188" s="2">
        <v>87.212</v>
      </c>
      <c r="P188" s="2">
        <v>85.375</v>
      </c>
      <c r="Q188" s="2">
        <v>85.828</v>
      </c>
      <c r="R188" s="2">
        <v>87.001</v>
      </c>
      <c r="S188" s="2">
        <v>85.795</v>
      </c>
      <c r="W188" s="2">
        <f t="shared" si="64"/>
        <v>0</v>
      </c>
    </row>
    <row r="189" ht="15.75" customHeight="1">
      <c r="A189" s="2" t="s">
        <v>29</v>
      </c>
      <c r="B189" s="2" t="s">
        <v>27</v>
      </c>
      <c r="C189" s="5" t="s">
        <v>32</v>
      </c>
      <c r="D189" s="2">
        <v>90.0</v>
      </c>
      <c r="E189" s="2">
        <v>180.0</v>
      </c>
      <c r="F189" s="5">
        <v>232.54</v>
      </c>
      <c r="G189" s="9"/>
      <c r="I189" s="2">
        <f t="shared" si="62"/>
        <v>52.54</v>
      </c>
      <c r="M189" s="2">
        <f t="shared" si="63"/>
        <v>2760.4516</v>
      </c>
      <c r="O189" s="2">
        <v>216.402</v>
      </c>
      <c r="P189" s="2">
        <v>216.399</v>
      </c>
      <c r="Q189" s="2">
        <v>217.282</v>
      </c>
      <c r="R189" s="2">
        <v>217.506</v>
      </c>
      <c r="S189" s="2">
        <v>219.051</v>
      </c>
      <c r="W189" s="2">
        <f t="shared" si="64"/>
        <v>0</v>
      </c>
    </row>
    <row r="190" ht="15.75" customHeight="1">
      <c r="A190" s="2" t="s">
        <v>29</v>
      </c>
      <c r="B190" s="2" t="s">
        <v>27</v>
      </c>
      <c r="C190" s="5" t="s">
        <v>32</v>
      </c>
      <c r="D190" s="2">
        <v>90.0</v>
      </c>
      <c r="E190" s="2">
        <v>270.0</v>
      </c>
      <c r="F190" s="11">
        <v>284.74</v>
      </c>
      <c r="G190" s="9">
        <f>AVERAGE(I185:I190)</f>
        <v>25.14166667</v>
      </c>
      <c r="I190" s="2">
        <f t="shared" si="62"/>
        <v>14.74</v>
      </c>
      <c r="M190" s="2">
        <f t="shared" si="63"/>
        <v>217.2676</v>
      </c>
      <c r="O190" s="2">
        <v>292.34</v>
      </c>
      <c r="P190" s="2">
        <v>292.837</v>
      </c>
      <c r="Q190" s="2">
        <v>293.056</v>
      </c>
      <c r="R190" s="2">
        <v>294.02</v>
      </c>
      <c r="S190" s="2">
        <v>292.777</v>
      </c>
      <c r="W190" s="2">
        <f t="shared" si="64"/>
        <v>0</v>
      </c>
    </row>
    <row r="191" ht="15.0" customHeight="1">
      <c r="M191" s="2" t="str">
        <f t="shared" ref="M191:M192" si="65">IF(I191 ="","", I191^2)</f>
        <v/>
      </c>
      <c r="O191" s="2" t="s">
        <v>24</v>
      </c>
      <c r="P191" s="2" t="s">
        <v>24</v>
      </c>
      <c r="Q191" s="2" t="s">
        <v>24</v>
      </c>
      <c r="R191" s="2" t="s">
        <v>24</v>
      </c>
      <c r="S191" s="2" t="s">
        <v>24</v>
      </c>
      <c r="W191" s="2">
        <f t="shared" si="64"/>
        <v>0</v>
      </c>
    </row>
    <row r="192" ht="15.75" customHeight="1">
      <c r="M192" s="2" t="str">
        <f t="shared" si="65"/>
        <v/>
      </c>
      <c r="O192" s="2" t="s">
        <v>24</v>
      </c>
      <c r="P192" s="2" t="s">
        <v>24</v>
      </c>
      <c r="Q192" s="2" t="s">
        <v>24</v>
      </c>
      <c r="R192" s="2" t="s">
        <v>24</v>
      </c>
      <c r="S192" s="2" t="s">
        <v>24</v>
      </c>
      <c r="W192" s="2">
        <f t="shared" si="64"/>
        <v>0</v>
      </c>
    </row>
    <row r="193" ht="15.75" customHeight="1">
      <c r="W193" s="2">
        <f t="shared" si="64"/>
        <v>0</v>
      </c>
    </row>
    <row r="194" ht="15.75" customHeight="1">
      <c r="A194" s="2" t="s">
        <v>1</v>
      </c>
      <c r="B194" s="2" t="s">
        <v>2</v>
      </c>
      <c r="C194" s="2" t="s">
        <v>3</v>
      </c>
      <c r="D194" s="2" t="s">
        <v>4</v>
      </c>
      <c r="E194" s="2" t="s">
        <v>5</v>
      </c>
      <c r="F194" s="2" t="s">
        <v>6</v>
      </c>
      <c r="G194" s="10"/>
      <c r="I194" s="2" t="s">
        <v>30</v>
      </c>
      <c r="W194" s="2">
        <f t="shared" si="64"/>
        <v>0</v>
      </c>
    </row>
    <row r="195" ht="15.75" customHeight="1">
      <c r="A195" s="2" t="s">
        <v>29</v>
      </c>
      <c r="B195" s="2" t="s">
        <v>21</v>
      </c>
      <c r="C195" s="5" t="s">
        <v>32</v>
      </c>
      <c r="D195" s="2">
        <v>180.0</v>
      </c>
      <c r="E195" s="2">
        <v>0.0</v>
      </c>
      <c r="F195" s="5">
        <v>320.1</v>
      </c>
      <c r="G195" s="10"/>
      <c r="I195" s="2">
        <f t="shared" ref="I195:I200" si="66">IF(ISNUMBER(E195), MIN(ABS(F195-E195), 360-ABS(F195-E195)), "")</f>
        <v>39.9</v>
      </c>
      <c r="M195" s="2">
        <f t="shared" ref="M195:M200" si="67">IF(ISNUMBER(I195), I195^2, "")</f>
        <v>1592.01</v>
      </c>
      <c r="O195" s="11">
        <v>1.5</v>
      </c>
      <c r="P195" s="11">
        <v>0.8</v>
      </c>
      <c r="Q195" s="11">
        <v>1.1</v>
      </c>
      <c r="R195" s="11">
        <v>1.4</v>
      </c>
      <c r="S195" s="11">
        <v>0.9</v>
      </c>
      <c r="U195" s="2">
        <f>AVERAGE(I195:I200)</f>
        <v>53.63333333</v>
      </c>
      <c r="W195" s="2">
        <f>SQRT(AVERAGE(M195:M200))</f>
        <v>60.0833865</v>
      </c>
      <c r="Y195" s="5">
        <f t="array" ref="Y195">AVERAGE(IF(F195:F200-E195:E200&gt;180, F195:F200-E195:E200-360, IF(F195:F200-E195:E200&lt;-180, F195:F200-E195:E200+360, F195:F200-E195:E200)))</f>
        <v>-43.5</v>
      </c>
      <c r="AA195" s="5">
        <f t="array" ref="AA195">STDEV(IF(F195:F200-E195:E200&gt;180, F195:F200-E195:E200-360, IF(F195:F200-E195:E200&lt;-180, F195:F200-E195:E200+360, F195:F200-E195:E200)))</f>
        <v>45.40171803</v>
      </c>
      <c r="AC195" s="2" t="str">
        <f>TEXT(Y195, "0.00") &amp; " ± " &amp; TEXT(1.96 * AA195 / SQRT(6), "0.00")</f>
        <v>-43.50 ± 36.33</v>
      </c>
    </row>
    <row r="196" ht="15.75" customHeight="1">
      <c r="A196" s="2" t="s">
        <v>29</v>
      </c>
      <c r="B196" s="2" t="s">
        <v>21</v>
      </c>
      <c r="C196" s="5" t="s">
        <v>32</v>
      </c>
      <c r="D196" s="2">
        <v>180.0</v>
      </c>
      <c r="E196" s="2">
        <v>22.5</v>
      </c>
      <c r="F196" s="5">
        <v>358.6</v>
      </c>
      <c r="G196" s="10"/>
      <c r="I196" s="2">
        <f t="shared" si="66"/>
        <v>23.9</v>
      </c>
      <c r="M196" s="2">
        <f t="shared" si="67"/>
        <v>571.21</v>
      </c>
      <c r="O196" s="11">
        <v>21.2</v>
      </c>
      <c r="P196" s="11">
        <v>22.1</v>
      </c>
      <c r="Q196" s="11">
        <v>21.8</v>
      </c>
      <c r="R196" s="11">
        <v>21.5</v>
      </c>
      <c r="S196" s="11">
        <v>22.0</v>
      </c>
      <c r="W196" s="2">
        <f t="shared" ref="W196:W202" si="68">SQRT(U196)</f>
        <v>0</v>
      </c>
    </row>
    <row r="197" ht="15.75" customHeight="1">
      <c r="A197" s="2" t="s">
        <v>29</v>
      </c>
      <c r="B197" s="2" t="s">
        <v>21</v>
      </c>
      <c r="C197" s="5" t="s">
        <v>32</v>
      </c>
      <c r="D197" s="2">
        <v>180.0</v>
      </c>
      <c r="E197" s="2">
        <v>45.0</v>
      </c>
      <c r="F197" s="5">
        <v>300.5</v>
      </c>
      <c r="G197" s="10"/>
      <c r="I197" s="2">
        <f t="shared" si="66"/>
        <v>104.5</v>
      </c>
      <c r="M197" s="2">
        <f t="shared" si="67"/>
        <v>10920.25</v>
      </c>
      <c r="O197" s="11">
        <v>46.1</v>
      </c>
      <c r="P197" s="11">
        <v>46.8</v>
      </c>
      <c r="Q197" s="11">
        <v>45.9</v>
      </c>
      <c r="R197" s="11">
        <v>46.2</v>
      </c>
      <c r="S197" s="11">
        <v>47.0</v>
      </c>
      <c r="W197" s="2">
        <f t="shared" si="68"/>
        <v>0</v>
      </c>
    </row>
    <row r="198" ht="15.75" customHeight="1">
      <c r="A198" s="2" t="s">
        <v>29</v>
      </c>
      <c r="B198" s="2" t="s">
        <v>21</v>
      </c>
      <c r="C198" s="5" t="s">
        <v>32</v>
      </c>
      <c r="D198" s="2">
        <v>180.0</v>
      </c>
      <c r="E198" s="2">
        <v>90.0</v>
      </c>
      <c r="F198" s="5">
        <v>22.3</v>
      </c>
      <c r="G198" s="10"/>
      <c r="I198" s="2">
        <f t="shared" si="66"/>
        <v>67.7</v>
      </c>
      <c r="M198" s="2">
        <f t="shared" si="67"/>
        <v>4583.29</v>
      </c>
      <c r="O198" s="11">
        <v>89.2</v>
      </c>
      <c r="P198" s="11">
        <v>88.5</v>
      </c>
      <c r="Q198" s="11">
        <v>89.1</v>
      </c>
      <c r="R198" s="11">
        <v>88.7</v>
      </c>
      <c r="S198" s="11">
        <v>89.4</v>
      </c>
      <c r="W198" s="2">
        <f t="shared" si="68"/>
        <v>0</v>
      </c>
    </row>
    <row r="199" ht="15.75" customHeight="1">
      <c r="A199" s="2" t="s">
        <v>29</v>
      </c>
      <c r="B199" s="2" t="s">
        <v>21</v>
      </c>
      <c r="C199" s="5" t="s">
        <v>32</v>
      </c>
      <c r="D199" s="2">
        <v>180.0</v>
      </c>
      <c r="E199" s="2">
        <v>180.0</v>
      </c>
      <c r="F199" s="5">
        <v>124.6</v>
      </c>
      <c r="G199" s="10"/>
      <c r="I199" s="2">
        <f t="shared" si="66"/>
        <v>55.4</v>
      </c>
      <c r="M199" s="2">
        <f t="shared" si="67"/>
        <v>3069.16</v>
      </c>
      <c r="O199" s="11">
        <v>181.5</v>
      </c>
      <c r="P199" s="11">
        <v>182.8</v>
      </c>
      <c r="Q199" s="11">
        <v>181.9</v>
      </c>
      <c r="R199" s="11">
        <v>182.4</v>
      </c>
      <c r="S199" s="11">
        <v>181.7</v>
      </c>
      <c r="W199" s="2">
        <f t="shared" si="68"/>
        <v>0</v>
      </c>
    </row>
    <row r="200" ht="15.75" customHeight="1">
      <c r="A200" s="2" t="s">
        <v>29</v>
      </c>
      <c r="B200" s="2" t="s">
        <v>21</v>
      </c>
      <c r="C200" s="5" t="s">
        <v>32</v>
      </c>
      <c r="D200" s="2">
        <v>180.0</v>
      </c>
      <c r="E200" s="2">
        <v>270.0</v>
      </c>
      <c r="F200" s="5">
        <v>300.4</v>
      </c>
      <c r="G200" s="10">
        <f>AVERAGE(I195:I200)</f>
        <v>53.63333333</v>
      </c>
      <c r="I200" s="2">
        <f t="shared" si="66"/>
        <v>30.4</v>
      </c>
      <c r="M200" s="2">
        <f t="shared" si="67"/>
        <v>924.16</v>
      </c>
      <c r="O200" s="11">
        <v>268.1</v>
      </c>
      <c r="P200" s="11">
        <v>269.0</v>
      </c>
      <c r="Q200" s="11">
        <v>268.8</v>
      </c>
      <c r="R200" s="11">
        <v>267.9</v>
      </c>
      <c r="S200" s="11">
        <v>268.4</v>
      </c>
      <c r="W200" s="2">
        <f t="shared" si="68"/>
        <v>0</v>
      </c>
    </row>
    <row r="201" ht="15.75" customHeight="1">
      <c r="G201" s="10"/>
      <c r="M201" s="2" t="str">
        <f>IF(I201 ="","", I201^2)</f>
        <v/>
      </c>
      <c r="O201" s="2" t="s">
        <v>24</v>
      </c>
      <c r="P201" s="2" t="s">
        <v>24</v>
      </c>
      <c r="Q201" s="2" t="s">
        <v>24</v>
      </c>
      <c r="R201" s="2" t="s">
        <v>24</v>
      </c>
      <c r="S201" s="2" t="s">
        <v>24</v>
      </c>
      <c r="W201" s="2">
        <f t="shared" si="68"/>
        <v>0</v>
      </c>
    </row>
    <row r="202" ht="15.75" customHeight="1">
      <c r="A202" s="2" t="s">
        <v>1</v>
      </c>
      <c r="B202" s="2" t="s">
        <v>2</v>
      </c>
      <c r="C202" s="2" t="s">
        <v>3</v>
      </c>
      <c r="D202" s="2" t="s">
        <v>4</v>
      </c>
      <c r="E202" s="2" t="s">
        <v>5</v>
      </c>
      <c r="F202" s="2" t="s">
        <v>6</v>
      </c>
      <c r="G202" s="10"/>
      <c r="I202" s="2" t="s">
        <v>30</v>
      </c>
      <c r="W202" s="2">
        <f t="shared" si="68"/>
        <v>0</v>
      </c>
    </row>
    <row r="203" ht="15.75" customHeight="1">
      <c r="A203" s="2" t="s">
        <v>29</v>
      </c>
      <c r="B203" s="2" t="s">
        <v>26</v>
      </c>
      <c r="C203" s="5" t="s">
        <v>32</v>
      </c>
      <c r="D203" s="2">
        <v>180.0</v>
      </c>
      <c r="E203" s="2">
        <v>0.0</v>
      </c>
      <c r="F203" s="5">
        <v>13.44</v>
      </c>
      <c r="G203" s="10"/>
      <c r="I203" s="2">
        <f t="shared" ref="I203:I208" si="69">IF(ISNUMBER(E203), MIN(ABS(F203-E203), 360-ABS(F203-E203)), "")</f>
        <v>13.44</v>
      </c>
      <c r="M203" s="2">
        <f t="shared" ref="M203:M208" si="70">IF(ISNUMBER(I203), I203^2, "")</f>
        <v>180.6336</v>
      </c>
      <c r="O203" s="2">
        <v>354.235</v>
      </c>
      <c r="P203" s="2">
        <v>352.792</v>
      </c>
      <c r="Q203" s="2">
        <v>352.957</v>
      </c>
      <c r="R203" s="2">
        <v>354.921</v>
      </c>
      <c r="S203" s="2">
        <v>352.973</v>
      </c>
      <c r="U203" s="2">
        <f>AVERAGE(I203:I208)</f>
        <v>29.34333333</v>
      </c>
      <c r="W203" s="2">
        <f>SQRT(AVERAGE(M203:M208))</f>
        <v>45.43293739</v>
      </c>
      <c r="Y203" s="5">
        <f t="array" ref="Y203">AVERAGE(IF(F203:F208-E203:E208&gt;180, F203:F208-E203:E208-360, IF(F203:F208-E203:E208&lt;-180, F203:F208-E203:E208+360, F203:F208-E203:E208)))</f>
        <v>28.62333333</v>
      </c>
      <c r="AA203" s="5">
        <f t="array" ref="AA203">STDEV(IF(F203:F208-E203:E208&gt;180, F203:F208-E203:E208-360, IF(F203:F208-E203:E208&lt;-180, F203:F208-E203:E208+360, F203:F208-E203:E208)))</f>
        <v>38.65006994</v>
      </c>
      <c r="AC203" s="2" t="str">
        <f>TEXT(Y203, "0.00") &amp; " ± " &amp; TEXT(1.96 * AA203 / SQRT(6), "0.00")</f>
        <v>28.62 ± 30.93</v>
      </c>
    </row>
    <row r="204" ht="15.75" customHeight="1">
      <c r="A204" s="2" t="s">
        <v>29</v>
      </c>
      <c r="B204" s="2" t="s">
        <v>26</v>
      </c>
      <c r="C204" s="5" t="s">
        <v>32</v>
      </c>
      <c r="D204" s="2">
        <v>180.0</v>
      </c>
      <c r="E204" s="2">
        <v>22.5</v>
      </c>
      <c r="F204" s="5">
        <v>64.49</v>
      </c>
      <c r="G204" s="10"/>
      <c r="I204" s="2">
        <f t="shared" si="69"/>
        <v>41.99</v>
      </c>
      <c r="M204" s="2">
        <f t="shared" si="70"/>
        <v>1763.1601</v>
      </c>
      <c r="O204" s="2">
        <v>353.658</v>
      </c>
      <c r="P204" s="2">
        <v>355.273</v>
      </c>
      <c r="Q204" s="2">
        <v>353.219</v>
      </c>
      <c r="R204" s="2">
        <v>355.155</v>
      </c>
      <c r="S204" s="2">
        <v>355.498</v>
      </c>
      <c r="W204" s="2">
        <f t="shared" ref="W204:W210" si="71">SQRT(U204)</f>
        <v>0</v>
      </c>
    </row>
    <row r="205" ht="15.75" customHeight="1">
      <c r="A205" s="2" t="s">
        <v>29</v>
      </c>
      <c r="B205" s="2" t="s">
        <v>26</v>
      </c>
      <c r="C205" s="5" t="s">
        <v>32</v>
      </c>
      <c r="D205" s="2">
        <v>180.0</v>
      </c>
      <c r="E205" s="2">
        <v>45.0</v>
      </c>
      <c r="F205" s="5">
        <v>42.84</v>
      </c>
      <c r="G205" s="10"/>
      <c r="I205" s="2">
        <f t="shared" si="69"/>
        <v>2.16</v>
      </c>
      <c r="M205" s="2">
        <f t="shared" si="70"/>
        <v>4.6656</v>
      </c>
      <c r="O205" s="2">
        <v>34.29</v>
      </c>
      <c r="P205" s="2">
        <v>34.863</v>
      </c>
      <c r="Q205" s="2">
        <v>36.4</v>
      </c>
      <c r="R205" s="2">
        <v>36.517</v>
      </c>
      <c r="S205" s="2">
        <v>34.268</v>
      </c>
      <c r="W205" s="2">
        <f t="shared" si="71"/>
        <v>0</v>
      </c>
    </row>
    <row r="206" ht="15.75" customHeight="1">
      <c r="A206" s="2" t="s">
        <v>29</v>
      </c>
      <c r="B206" s="2" t="s">
        <v>26</v>
      </c>
      <c r="C206" s="5" t="s">
        <v>32</v>
      </c>
      <c r="D206" s="2">
        <v>180.0</v>
      </c>
      <c r="E206" s="2">
        <v>90.0</v>
      </c>
      <c r="F206" s="5">
        <v>191.43</v>
      </c>
      <c r="G206" s="10"/>
      <c r="I206" s="2">
        <f t="shared" si="69"/>
        <v>101.43</v>
      </c>
      <c r="M206" s="2">
        <f t="shared" si="70"/>
        <v>10288.0449</v>
      </c>
      <c r="O206" s="2">
        <v>44.343</v>
      </c>
      <c r="P206" s="2">
        <v>46.1</v>
      </c>
      <c r="Q206" s="2">
        <v>46.426</v>
      </c>
      <c r="R206" s="2">
        <v>46.477</v>
      </c>
      <c r="S206" s="2">
        <v>44.496</v>
      </c>
      <c r="W206" s="2">
        <f t="shared" si="71"/>
        <v>0</v>
      </c>
    </row>
    <row r="207" ht="15.75" customHeight="1">
      <c r="A207" s="2" t="s">
        <v>29</v>
      </c>
      <c r="B207" s="2" t="s">
        <v>26</v>
      </c>
      <c r="C207" s="5" t="s">
        <v>32</v>
      </c>
      <c r="D207" s="2">
        <v>180.0</v>
      </c>
      <c r="E207" s="2">
        <v>180.0</v>
      </c>
      <c r="F207" s="5">
        <v>187.25</v>
      </c>
      <c r="G207" s="10"/>
      <c r="I207" s="2">
        <f t="shared" si="69"/>
        <v>7.25</v>
      </c>
      <c r="M207" s="2">
        <f t="shared" si="70"/>
        <v>52.5625</v>
      </c>
      <c r="O207" s="2">
        <v>281.625</v>
      </c>
      <c r="P207" s="2">
        <v>281.081</v>
      </c>
      <c r="Q207" s="2">
        <v>280.124</v>
      </c>
      <c r="R207" s="2">
        <v>281.124</v>
      </c>
      <c r="S207" s="2">
        <v>281.835</v>
      </c>
      <c r="W207" s="2">
        <f t="shared" si="71"/>
        <v>0</v>
      </c>
    </row>
    <row r="208" ht="15.75" customHeight="1">
      <c r="A208" s="2" t="s">
        <v>29</v>
      </c>
      <c r="B208" s="2" t="s">
        <v>26</v>
      </c>
      <c r="C208" s="5" t="s">
        <v>32</v>
      </c>
      <c r="D208" s="2">
        <v>180.0</v>
      </c>
      <c r="E208" s="2">
        <v>270.0</v>
      </c>
      <c r="F208" s="5">
        <v>279.79</v>
      </c>
      <c r="G208" s="10">
        <f>AVERAGE(I203:I208)</f>
        <v>29.34333333</v>
      </c>
      <c r="I208" s="2">
        <f t="shared" si="69"/>
        <v>9.79</v>
      </c>
      <c r="M208" s="2">
        <f t="shared" si="70"/>
        <v>95.8441</v>
      </c>
      <c r="O208" s="2">
        <v>326.955</v>
      </c>
      <c r="P208" s="2">
        <v>326.832</v>
      </c>
      <c r="Q208" s="2">
        <v>328.699</v>
      </c>
      <c r="R208" s="2">
        <v>327.666</v>
      </c>
      <c r="S208" s="2">
        <v>329.394</v>
      </c>
      <c r="W208" s="2">
        <f t="shared" si="71"/>
        <v>0</v>
      </c>
    </row>
    <row r="209" ht="15.75" customHeight="1">
      <c r="G209" s="10"/>
      <c r="M209" s="2" t="str">
        <f>IF(I209 ="","", I209^2)</f>
        <v/>
      </c>
      <c r="O209" s="2" t="s">
        <v>24</v>
      </c>
      <c r="P209" s="2" t="s">
        <v>24</v>
      </c>
      <c r="Q209" s="2" t="s">
        <v>24</v>
      </c>
      <c r="R209" s="2" t="s">
        <v>24</v>
      </c>
      <c r="S209" s="2" t="s">
        <v>24</v>
      </c>
      <c r="W209" s="2">
        <f t="shared" si="71"/>
        <v>0</v>
      </c>
    </row>
    <row r="210" ht="15.75" customHeight="1">
      <c r="A210" s="2" t="s">
        <v>1</v>
      </c>
      <c r="B210" s="2" t="s">
        <v>2</v>
      </c>
      <c r="C210" s="2" t="s">
        <v>3</v>
      </c>
      <c r="D210" s="2" t="s">
        <v>4</v>
      </c>
      <c r="E210" s="2" t="s">
        <v>5</v>
      </c>
      <c r="F210" s="2" t="s">
        <v>6</v>
      </c>
      <c r="G210" s="10"/>
      <c r="I210" s="2" t="s">
        <v>30</v>
      </c>
      <c r="W210" s="2">
        <f t="shared" si="71"/>
        <v>0</v>
      </c>
    </row>
    <row r="211" ht="15.75" customHeight="1">
      <c r="A211" s="2" t="s">
        <v>29</v>
      </c>
      <c r="B211" s="2" t="s">
        <v>27</v>
      </c>
      <c r="C211" s="5" t="s">
        <v>32</v>
      </c>
      <c r="D211" s="2">
        <v>180.0</v>
      </c>
      <c r="E211" s="2">
        <v>0.0</v>
      </c>
      <c r="F211" s="11">
        <v>358.7</v>
      </c>
      <c r="G211" s="10"/>
      <c r="I211" s="2">
        <f t="shared" ref="I211:I216" si="72">IF(ISNUMBER(E211), MIN(ABS(F211-E211), 360-ABS(F211-E211)), "")</f>
        <v>1.3</v>
      </c>
      <c r="M211" s="2">
        <f t="shared" ref="M211:M216" si="73">IF(ISNUMBER(I211), I211^2, "")</f>
        <v>1.69</v>
      </c>
      <c r="O211" s="11">
        <v>359.1</v>
      </c>
      <c r="P211" s="11">
        <v>358.2</v>
      </c>
      <c r="Q211" s="11">
        <v>358.9</v>
      </c>
      <c r="R211" s="11">
        <v>358.5</v>
      </c>
      <c r="S211" s="11">
        <v>359.0</v>
      </c>
      <c r="U211" s="2">
        <f>AVERAGE(I211:I216)</f>
        <v>39.35</v>
      </c>
      <c r="W211" s="2">
        <f>SQRT(AVERAGE(M211:M216))</f>
        <v>53.32649435</v>
      </c>
      <c r="Y211" s="5">
        <f t="array" ref="Y211">AVERAGE(IF(F211:F216-E211:E216&gt;180, F211:F216-E211:E216-360, IF(F211:F216-E211:E216&lt;-180, F211:F216-E211:E216+360, F211:F216-E211:E216)))</f>
        <v>12.48333333</v>
      </c>
      <c r="AA211" s="5">
        <f t="array" ref="AA211">STDEV(IF(F211:F216-E211:E216&gt;180, F211:F216-E211:E216-360, IF(F211:F216-E211:E216&lt;-180, F211:F216-E211:E216+360, F211:F216-E211:E216)))</f>
        <v>56.79311285</v>
      </c>
      <c r="AC211" s="2" t="str">
        <f>TEXT(Y211, "0.00") &amp; " ± " &amp; TEXT(1.96 * AA211 / SQRT(6), "0.00")</f>
        <v>12.48 ± 45.44</v>
      </c>
    </row>
    <row r="212" ht="15.75" customHeight="1">
      <c r="A212" s="2" t="s">
        <v>29</v>
      </c>
      <c r="B212" s="2" t="s">
        <v>27</v>
      </c>
      <c r="C212" s="5" t="s">
        <v>32</v>
      </c>
      <c r="D212" s="2">
        <v>180.0</v>
      </c>
      <c r="E212" s="2">
        <v>22.5</v>
      </c>
      <c r="F212" s="11">
        <v>23.4</v>
      </c>
      <c r="G212" s="10"/>
      <c r="I212" s="2">
        <f t="shared" si="72"/>
        <v>0.9</v>
      </c>
      <c r="M212" s="2">
        <f t="shared" si="73"/>
        <v>0.81</v>
      </c>
      <c r="O212" s="11">
        <v>23.1</v>
      </c>
      <c r="P212" s="11">
        <v>23.8</v>
      </c>
      <c r="Q212" s="11">
        <v>23.5</v>
      </c>
      <c r="R212" s="11">
        <v>23.2</v>
      </c>
      <c r="S212" s="11">
        <v>23.9</v>
      </c>
    </row>
    <row r="213" ht="15.75" customHeight="1">
      <c r="A213" s="2" t="s">
        <v>29</v>
      </c>
      <c r="B213" s="2" t="s">
        <v>27</v>
      </c>
      <c r="C213" s="5" t="s">
        <v>32</v>
      </c>
      <c r="D213" s="2">
        <v>180.0</v>
      </c>
      <c r="E213" s="2">
        <v>45.0</v>
      </c>
      <c r="F213" s="5">
        <v>120.7</v>
      </c>
      <c r="G213" s="10"/>
      <c r="I213" s="2">
        <f t="shared" si="72"/>
        <v>75.7</v>
      </c>
      <c r="M213" s="2">
        <f t="shared" si="73"/>
        <v>5730.49</v>
      </c>
      <c r="O213" s="11">
        <v>44.2</v>
      </c>
      <c r="P213" s="11">
        <v>43.5</v>
      </c>
      <c r="Q213" s="11">
        <v>43.9</v>
      </c>
      <c r="R213" s="11">
        <v>44.1</v>
      </c>
      <c r="S213" s="11">
        <v>43.4</v>
      </c>
    </row>
    <row r="214" ht="15.75" customHeight="1">
      <c r="A214" s="2" t="s">
        <v>29</v>
      </c>
      <c r="B214" s="2" t="s">
        <v>27</v>
      </c>
      <c r="C214" s="5" t="s">
        <v>32</v>
      </c>
      <c r="D214" s="2">
        <v>180.0</v>
      </c>
      <c r="E214" s="2">
        <v>90.0</v>
      </c>
      <c r="F214" s="5">
        <v>98.4</v>
      </c>
      <c r="G214" s="10"/>
      <c r="I214" s="2">
        <f t="shared" si="72"/>
        <v>8.4</v>
      </c>
      <c r="M214" s="2">
        <f t="shared" si="73"/>
        <v>70.56</v>
      </c>
      <c r="O214" s="11">
        <v>91.1</v>
      </c>
      <c r="P214" s="11">
        <v>91.8</v>
      </c>
      <c r="Q214" s="11">
        <v>91.5</v>
      </c>
      <c r="R214" s="11">
        <v>91.2</v>
      </c>
      <c r="S214" s="11">
        <v>91.9</v>
      </c>
    </row>
    <row r="215" ht="15.75" customHeight="1">
      <c r="A215" s="2" t="s">
        <v>29</v>
      </c>
      <c r="B215" s="2" t="s">
        <v>27</v>
      </c>
      <c r="C215" s="5" t="s">
        <v>32</v>
      </c>
      <c r="D215" s="2">
        <v>180.0</v>
      </c>
      <c r="E215" s="2">
        <v>180.0</v>
      </c>
      <c r="F215" s="5">
        <v>100.7</v>
      </c>
      <c r="G215" s="10"/>
      <c r="I215" s="2">
        <f t="shared" si="72"/>
        <v>79.3</v>
      </c>
      <c r="M215" s="2">
        <f t="shared" si="73"/>
        <v>6288.49</v>
      </c>
      <c r="O215" s="11">
        <v>178.5</v>
      </c>
      <c r="P215" s="11">
        <v>177.8</v>
      </c>
      <c r="Q215" s="11">
        <v>178.1</v>
      </c>
      <c r="R215" s="11">
        <v>178.7</v>
      </c>
      <c r="S215" s="11">
        <v>177.9</v>
      </c>
    </row>
    <row r="216" ht="15.75" customHeight="1">
      <c r="A216" s="2" t="s">
        <v>29</v>
      </c>
      <c r="B216" s="2" t="s">
        <v>27</v>
      </c>
      <c r="C216" s="5" t="s">
        <v>32</v>
      </c>
      <c r="D216" s="2">
        <v>180.0</v>
      </c>
      <c r="E216" s="2">
        <v>270.0</v>
      </c>
      <c r="F216" s="5">
        <v>340.5</v>
      </c>
      <c r="G216" s="10">
        <f>AVERAGE(I211:I216)</f>
        <v>39.35</v>
      </c>
      <c r="I216" s="2">
        <f t="shared" si="72"/>
        <v>70.5</v>
      </c>
      <c r="M216" s="2">
        <f t="shared" si="73"/>
        <v>4970.25</v>
      </c>
      <c r="O216" s="11">
        <v>270.8</v>
      </c>
      <c r="P216" s="11">
        <v>271.5</v>
      </c>
      <c r="Q216" s="11">
        <v>271.2</v>
      </c>
      <c r="R216" s="11">
        <v>270.9</v>
      </c>
      <c r="S216" s="11">
        <v>271.4</v>
      </c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